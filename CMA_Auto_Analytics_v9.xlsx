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L\"/>
    </mc:Choice>
  </mc:AlternateContent>
  <xr:revisionPtr revIDLastSave="0" documentId="8_{87FA0B10-887E-452F-A820-8728AB92C26F}" xr6:coauthVersionLast="47" xr6:coauthVersionMax="47" xr10:uidLastSave="{00000000-0000-0000-0000-000000000000}"/>
  <bookViews>
    <workbookView xWindow="-96" yWindow="-96" windowWidth="23232" windowHeight="13152" tabRatio="500" firstSheet="20" activeTab="23" xr2:uid="{00000000-000D-0000-FFFF-FFFF00000000}"/>
  </bookViews>
  <sheets>
    <sheet name="0A_Executive_Dashboard" sheetId="1" r:id="rId1"/>
    <sheet name="0B_Credit_Scoring" sheetId="2" r:id="rId2"/>
    <sheet name="0_Setup" sheetId="3" r:id="rId3"/>
    <sheet name="1_How_To_Use" sheetId="4" r:id="rId4"/>
    <sheet name="2_Operating_Statement" sheetId="5" r:id="rId5"/>
    <sheet name="3_Balance_Sheet" sheetId="6" r:id="rId6"/>
    <sheet name="4_DSCR" sheetId="7" r:id="rId7"/>
    <sheet name="5_Holding_Levels" sheetId="8" r:id="rId8"/>
    <sheet name="6_Working_Capital" sheetId="9" r:id="rId9"/>
    <sheet name="7_Funds_Flow" sheetId="10" r:id="rId10"/>
    <sheet name="8_Performance_Indicators" sheetId="11" r:id="rId11"/>
    <sheet name="9_Cross_Checks" sheetId="12" r:id="rId12"/>
    <sheet name="10_Credit_Limits" sheetId="13" r:id="rId13"/>
    <sheet name="11_Security" sheetId="14" r:id="rId14"/>
    <sheet name="12_Red_Flags" sheetId="15" r:id="rId15"/>
    <sheet name="12B_Exception_Engine" sheetId="16" r:id="rId16"/>
    <sheet name="13_Auto_Analysis" sheetId="17" r:id="rId17"/>
    <sheet name="14_Justification" sheetId="18" r:id="rId18"/>
    <sheet name="Industry_Outlook" sheetId="19" state="hidden" r:id="rId19"/>
    <sheet name="15_Stress_Test" sheetId="20" r:id="rId20"/>
    <sheet name="16_ESG_Scorecard" sheetId="21" r:id="rId21"/>
    <sheet name="17_Advanced_EWS" sheetId="22" r:id="rId22"/>
    <sheet name="18_13W_Cash_Flow" sheetId="23" r:id="rId23"/>
    <sheet name="19_Ohlson_O_Score" sheetId="24" r:id="rId24"/>
    <sheet name="20_Anomaly_Detection" sheetId="25" r:id="rId25"/>
    <sheet name="21_Forecasting_Engine" sheetId="26" r:id="rId26"/>
    <sheet name="22_Credit_Memorandum" sheetId="27" r:id="rId27"/>
  </sheets>
  <definedNames>
    <definedName name="Anomaly_Benford_Verdict">'20_Anomaly_Detection'!$I$19</definedName>
    <definedName name="Anomaly_Earnings_Verdict">'20_Anomaly_Detection'!$G$42</definedName>
    <definedName name="Anomaly_Master_Verdict">'20_Anomaly_Detection'!$C$49</definedName>
    <definedName name="Anomaly_RollingZ_Count">'20_Anomaly_Detection'!$G$31</definedName>
    <definedName name="Anomaly_RollingZ_Verdict">'20_Anomaly_Detection'!$H$31</definedName>
    <definedName name="APIGrossIncome">'0_Setup'!$C$87</definedName>
    <definedName name="Bankable_Breach_Week">'21_Forecasting_Engine'!$D$64</definedName>
    <definedName name="BorrowerName">'0_Setup'!$C$5</definedName>
    <definedName name="CAM_Para1">'22_Credit_Memorandum'!$B$16</definedName>
    <definedName name="CAM_Para2">'22_Credit_Memorandum'!$B$19</definedName>
    <definedName name="CAM_Para3">'22_Credit_Memorandum'!$B$22</definedName>
    <definedName name="CAM_Para4">'22_Credit_Memorandum'!$B$25</definedName>
    <definedName name="CAM_Synopsis">'22_Credit_Memorandum'!$A$5</definedName>
    <definedName name="Cascade_Breakpoint">'15_Stress_Test'!$C$105</definedName>
    <definedName name="Cascade_DSCR">'15_Stress_Test'!$C$98</definedName>
    <definedName name="Cascade_Selected_Scenario">'15_Stress_Test'!$C$71</definedName>
    <definedName name="Cascade_Severity">'15_Stress_Test'!$C$72</definedName>
    <definedName name="Cascade_Verdict">'15_Stress_Test'!$E$98</definedName>
    <definedName name="CashFlow_MaxFunding">'18_13W_Cash_Flow'!$P$30</definedName>
    <definedName name="CashFlow_MinAcrossWeeks">'18_13W_Cash_Flow'!$O$29</definedName>
    <definedName name="CashFlow_MinClosing">'18_13W_Cash_Flow'!$P$29</definedName>
    <definedName name="ChapterXIA_AggExposure">'10_Credit_Limits'!$E$37</definedName>
    <definedName name="ChapterXIA_BankShare">'10_Credit_Limits'!$E$39</definedName>
    <definedName name="ChapterXIA_Status">'10_Credit_Limits'!$E$40</definedName>
    <definedName name="CurrentEstCol">'0_Setup'!$C$43</definedName>
    <definedName name="CurrentFY">'0_Setup'!$C$14</definedName>
    <definedName name="CustomerID">'0_Setup'!$C$6</definedName>
    <definedName name="DataSource">'0_Setup'!$C$86</definedName>
    <definedName name="DCCO_Year">'0_Setup'!$C$83</definedName>
    <definedName name="ESG_TotalScore">'16_ESG_Scorecard'!$D$21</definedName>
    <definedName name="EWS_CriticalCount">'17_Advanced_EWS'!$D$56</definedName>
    <definedName name="EWS_HighCount">'17_Advanced_EWS'!$E$56</definedName>
    <definedName name="EWS_TotalPoints">'17_Advanced_EWS'!$F$56</definedName>
    <definedName name="EWS_Verdict">'17_Advanced_EWS'!$G$56</definedName>
    <definedName name="ExistingFB_TL">'0_Setup'!$B$21</definedName>
    <definedName name="ExistingFB_WC">'0_Setup'!$B$20</definedName>
    <definedName name="ExistingNFB">'0_Setup'!$B$22</definedName>
    <definedName name="ExternalRating">'0_Setup'!$C$9</definedName>
    <definedName name="FirstFY">'0_Setup'!$C$12</definedName>
    <definedName name="Forecast_Cash_Yr1">'21_Forecasting_Engine'!$E$8</definedName>
    <definedName name="Forecast_EBITDA_Yr1">'21_Forecasting_Engine'!$E$7</definedName>
    <definedName name="Forecast_Sales_Yr1">'21_Forecasting_Engine'!$E$6</definedName>
    <definedName name="IndustryName">'0_Setup'!$C$7</definedName>
    <definedName name="InternalRating">'0_Setup'!$C$8</definedName>
    <definedName name="LastFY">'0_Setup'!$C$13</definedName>
    <definedName name="LastProjCol">'0_Setup'!$C$44</definedName>
    <definedName name="LatestAudCol">'0_Setup'!$C$40</definedName>
    <definedName name="LatestEstCol">'0_Setup'!$C$41</definedName>
    <definedName name="Liquidity_Breach_Week">'21_Forecasting_Engine'!$D$63</definedName>
    <definedName name="MaxDPOStretch">'0_Setup'!$F$31</definedName>
    <definedName name="MaxDSOIncrease">'0_Setup'!$F$30</definedName>
    <definedName name="MaxInvDays">'0_Setup'!$F$29</definedName>
    <definedName name="MaxLeverage">'0_Setup'!$C$30</definedName>
    <definedName name="MaxNWCErosion">'0_Setup'!$F$28</definedName>
    <definedName name="MaxTOLTNW">'0_Setup'!$C$29</definedName>
    <definedName name="Min_Projected_Cash">'21_Forecasting_Engine'!$D$65</definedName>
    <definedName name="MinCR">'0_Setup'!$C$26</definedName>
    <definedName name="MinDSCR_Any">'0_Setup'!$C$27</definedName>
    <definedName name="MinDSCR_Avg">'0_Setup'!$C$28</definedName>
    <definedName name="MinFACR">'0_Setup'!$F$27</definedName>
    <definedName name="MinICR">'0_Setup'!$C$31</definedName>
    <definedName name="MinSalesGrowth">'0_Setup'!$F$26</definedName>
    <definedName name="NumFY">'0_Setup'!$C$34</definedName>
    <definedName name="Ohlson_Class_Latest">'19_Ohlson_O_Score'!$O$44</definedName>
    <definedName name="Ohlson_PD_Latest">'19_Ohlson_O_Score'!$O$43</definedName>
    <definedName name="Ohlson_Score_Latest">'19_Ohlson_O_Score'!$O$45</definedName>
    <definedName name="PriorAudCol">'0_Setup'!$C$42</definedName>
    <definedName name="PriorFY_Pos">'0_Setup'!$C$36</definedName>
    <definedName name="PriorFY_Year">'0_Setup'!$C$35</definedName>
    <definedName name="ProjectFinance">'0_Setup'!$C$80</definedName>
    <definedName name="ProjectPhase">'0_Setup'!$C$81</definedName>
    <definedName name="ProjectSector">'0_Setup'!$C$82</definedName>
    <definedName name="ProposalType">'0_Setup'!$C$17</definedName>
    <definedName name="ProposedFB_TL">'0_Setup'!$D$21</definedName>
    <definedName name="ProposedFB_WC">'0_Setup'!$D$20</definedName>
    <definedName name="ProposedNFB">'0_Setup'!$D$22</definedName>
    <definedName name="TotalCols">'0_Setup'!$C$37</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4" i="27" l="1"/>
  <c r="B32" i="27"/>
  <c r="A1" i="27"/>
  <c r="J70" i="26"/>
  <c r="I70" i="26"/>
  <c r="H70" i="26"/>
  <c r="K70" i="26" s="1"/>
  <c r="G70" i="26"/>
  <c r="F70" i="26"/>
  <c r="E70" i="26"/>
  <c r="D70" i="26"/>
  <c r="C70" i="26"/>
  <c r="J69" i="26"/>
  <c r="I69" i="26"/>
  <c r="H69" i="26"/>
  <c r="K69" i="26" s="1"/>
  <c r="G69" i="26"/>
  <c r="F69" i="26"/>
  <c r="E69" i="26"/>
  <c r="D69" i="26"/>
  <c r="C69" i="26"/>
  <c r="E61" i="26"/>
  <c r="D61" i="26"/>
  <c r="F61" i="26" s="1"/>
  <c r="G61" i="26" s="1"/>
  <c r="C61" i="26"/>
  <c r="E60" i="26"/>
  <c r="D60" i="26"/>
  <c r="F60" i="26" s="1"/>
  <c r="G60" i="26" s="1"/>
  <c r="C60" i="26"/>
  <c r="E59" i="26"/>
  <c r="D59" i="26"/>
  <c r="F59" i="26" s="1"/>
  <c r="G59" i="26" s="1"/>
  <c r="C59" i="26"/>
  <c r="E58" i="26"/>
  <c r="D58" i="26"/>
  <c r="F58" i="26" s="1"/>
  <c r="G58" i="26" s="1"/>
  <c r="C58" i="26"/>
  <c r="E57" i="26"/>
  <c r="D57" i="26"/>
  <c r="F57" i="26" s="1"/>
  <c r="G57" i="26" s="1"/>
  <c r="C57" i="26"/>
  <c r="E56" i="26"/>
  <c r="D56" i="26"/>
  <c r="F56" i="26" s="1"/>
  <c r="G56" i="26" s="1"/>
  <c r="C56" i="26"/>
  <c r="E55" i="26"/>
  <c r="D55" i="26"/>
  <c r="F55" i="26" s="1"/>
  <c r="G55" i="26" s="1"/>
  <c r="C55" i="26"/>
  <c r="E54" i="26"/>
  <c r="D54" i="26"/>
  <c r="F54" i="26" s="1"/>
  <c r="G54" i="26" s="1"/>
  <c r="C54" i="26"/>
  <c r="E53" i="26"/>
  <c r="D53" i="26"/>
  <c r="F53" i="26" s="1"/>
  <c r="G53" i="26" s="1"/>
  <c r="C53" i="26"/>
  <c r="E52" i="26"/>
  <c r="D52" i="26"/>
  <c r="F52" i="26" s="1"/>
  <c r="G52" i="26" s="1"/>
  <c r="C52" i="26"/>
  <c r="E51" i="26"/>
  <c r="D51" i="26"/>
  <c r="F51" i="26" s="1"/>
  <c r="G51" i="26" s="1"/>
  <c r="C51" i="26"/>
  <c r="E50" i="26"/>
  <c r="D50" i="26"/>
  <c r="F50" i="26" s="1"/>
  <c r="G50" i="26" s="1"/>
  <c r="C50" i="26"/>
  <c r="E49" i="26"/>
  <c r="D49" i="26"/>
  <c r="C49" i="26"/>
  <c r="H47" i="26"/>
  <c r="F47" i="26"/>
  <c r="C47" i="26"/>
  <c r="H46" i="26"/>
  <c r="F46" i="26"/>
  <c r="C46" i="26"/>
  <c r="H45" i="26"/>
  <c r="F45" i="26"/>
  <c r="C45" i="26"/>
  <c r="H44" i="26"/>
  <c r="F44" i="26"/>
  <c r="C44" i="26"/>
  <c r="H43" i="26"/>
  <c r="F43" i="26"/>
  <c r="C43" i="26"/>
  <c r="H42" i="26"/>
  <c r="F42" i="26"/>
  <c r="C42" i="26"/>
  <c r="H41" i="26"/>
  <c r="F41" i="26"/>
  <c r="C41" i="26"/>
  <c r="H40" i="26"/>
  <c r="F40" i="26"/>
  <c r="C40" i="26"/>
  <c r="H39" i="26"/>
  <c r="F39" i="26"/>
  <c r="C39" i="26"/>
  <c r="H38" i="26"/>
  <c r="F38" i="26"/>
  <c r="C38" i="26"/>
  <c r="H37" i="26"/>
  <c r="F37" i="26"/>
  <c r="C37" i="26"/>
  <c r="H36" i="26"/>
  <c r="F36" i="26"/>
  <c r="C36" i="26"/>
  <c r="H35" i="26"/>
  <c r="F35" i="26"/>
  <c r="C35" i="26"/>
  <c r="H34" i="26"/>
  <c r="F34" i="26"/>
  <c r="C34" i="26"/>
  <c r="H33" i="26"/>
  <c r="F33" i="26"/>
  <c r="C33" i="26"/>
  <c r="H32" i="26"/>
  <c r="F32" i="26"/>
  <c r="C32" i="26"/>
  <c r="H31" i="26"/>
  <c r="F31" i="26"/>
  <c r="C31" i="26"/>
  <c r="H30" i="26"/>
  <c r="F30" i="26"/>
  <c r="C30" i="26"/>
  <c r="H29" i="26"/>
  <c r="F29" i="26"/>
  <c r="C29" i="26"/>
  <c r="H28" i="26"/>
  <c r="F28" i="26"/>
  <c r="C28" i="26"/>
  <c r="H27" i="26"/>
  <c r="F27" i="26"/>
  <c r="C27" i="26"/>
  <c r="H26" i="26"/>
  <c r="F26" i="26"/>
  <c r="C26" i="26"/>
  <c r="H25" i="26"/>
  <c r="F25" i="26"/>
  <c r="C25" i="26"/>
  <c r="H24" i="26"/>
  <c r="F24" i="26"/>
  <c r="C24" i="26"/>
  <c r="H23" i="26"/>
  <c r="F23" i="26"/>
  <c r="C23" i="26"/>
  <c r="H22" i="26"/>
  <c r="F22" i="26"/>
  <c r="C22" i="26"/>
  <c r="A1" i="26"/>
  <c r="L507" i="25"/>
  <c r="L506" i="25"/>
  <c r="L505" i="25"/>
  <c r="L504" i="25"/>
  <c r="L503" i="25"/>
  <c r="L502" i="25"/>
  <c r="L501" i="25"/>
  <c r="L500" i="25"/>
  <c r="L499" i="25"/>
  <c r="L498" i="25"/>
  <c r="L497" i="25"/>
  <c r="L496" i="25"/>
  <c r="L495" i="25"/>
  <c r="L494" i="25"/>
  <c r="L493" i="25"/>
  <c r="L492" i="25"/>
  <c r="L491" i="25"/>
  <c r="L490" i="25"/>
  <c r="L489" i="25"/>
  <c r="L488" i="25"/>
  <c r="L487" i="25"/>
  <c r="L486" i="25"/>
  <c r="L485" i="25"/>
  <c r="L484" i="25"/>
  <c r="L483" i="25"/>
  <c r="L482" i="25"/>
  <c r="L481" i="25"/>
  <c r="L480" i="25"/>
  <c r="L479" i="25"/>
  <c r="L478" i="25"/>
  <c r="L477" i="25"/>
  <c r="L476" i="25"/>
  <c r="L475" i="25"/>
  <c r="L474" i="25"/>
  <c r="L473" i="25"/>
  <c r="L472" i="25"/>
  <c r="L471" i="25"/>
  <c r="L470" i="25"/>
  <c r="L469" i="25"/>
  <c r="L468" i="25"/>
  <c r="L467" i="25"/>
  <c r="L466" i="25"/>
  <c r="L465" i="25"/>
  <c r="L464" i="25"/>
  <c r="L463" i="25"/>
  <c r="L462" i="25"/>
  <c r="L461" i="25"/>
  <c r="L460" i="25"/>
  <c r="L459" i="25"/>
  <c r="L458" i="25"/>
  <c r="L457" i="25"/>
  <c r="L456" i="25"/>
  <c r="L455" i="25"/>
  <c r="L454" i="25"/>
  <c r="L453" i="25"/>
  <c r="L452" i="25"/>
  <c r="L451" i="25"/>
  <c r="L450" i="25"/>
  <c r="L449" i="25"/>
  <c r="L448" i="25"/>
  <c r="L447" i="25"/>
  <c r="L446" i="25"/>
  <c r="L445" i="25"/>
  <c r="L444" i="25"/>
  <c r="L443" i="25"/>
  <c r="L442" i="25"/>
  <c r="L441" i="25"/>
  <c r="L440" i="25"/>
  <c r="L439" i="25"/>
  <c r="L438" i="25"/>
  <c r="L437" i="25"/>
  <c r="L436" i="25"/>
  <c r="L435" i="25"/>
  <c r="L434" i="25"/>
  <c r="L433" i="25"/>
  <c r="L432" i="25"/>
  <c r="L431" i="25"/>
  <c r="L430" i="25"/>
  <c r="L429" i="25"/>
  <c r="L428" i="25"/>
  <c r="L427" i="25"/>
  <c r="L426" i="25"/>
  <c r="L425" i="25"/>
  <c r="L424" i="25"/>
  <c r="L423" i="25"/>
  <c r="L422" i="25"/>
  <c r="L421" i="25"/>
  <c r="L420" i="25"/>
  <c r="L419" i="25"/>
  <c r="L418" i="25"/>
  <c r="L417" i="25"/>
  <c r="L416" i="25"/>
  <c r="L415" i="25"/>
  <c r="L414" i="25"/>
  <c r="L413" i="25"/>
  <c r="L412" i="25"/>
  <c r="L411" i="25"/>
  <c r="L410" i="25"/>
  <c r="L409" i="25"/>
  <c r="L408" i="25"/>
  <c r="L407" i="25"/>
  <c r="L406" i="25"/>
  <c r="L405" i="25"/>
  <c r="L404" i="25"/>
  <c r="L403" i="25"/>
  <c r="L402" i="25"/>
  <c r="L401" i="25"/>
  <c r="L400" i="25"/>
  <c r="L399" i="25"/>
  <c r="L398" i="25"/>
  <c r="L397" i="25"/>
  <c r="L396" i="25"/>
  <c r="L395" i="25"/>
  <c r="L394" i="25"/>
  <c r="L393" i="25"/>
  <c r="L392" i="25"/>
  <c r="L391" i="25"/>
  <c r="L390" i="25"/>
  <c r="L389" i="25"/>
  <c r="L388" i="25"/>
  <c r="L387" i="25"/>
  <c r="L386" i="25"/>
  <c r="L385" i="25"/>
  <c r="L384" i="25"/>
  <c r="L383" i="25"/>
  <c r="L382" i="25"/>
  <c r="L381" i="25"/>
  <c r="L380" i="25"/>
  <c r="L379" i="25"/>
  <c r="L378" i="25"/>
  <c r="L377" i="25"/>
  <c r="L376" i="25"/>
  <c r="L375" i="25"/>
  <c r="L374" i="25"/>
  <c r="L373" i="25"/>
  <c r="L372" i="25"/>
  <c r="L371" i="25"/>
  <c r="L370" i="25"/>
  <c r="L369" i="25"/>
  <c r="L368" i="25"/>
  <c r="L367" i="25"/>
  <c r="L366" i="25"/>
  <c r="L365" i="25"/>
  <c r="L364" i="25"/>
  <c r="L363" i="25"/>
  <c r="L362" i="25"/>
  <c r="L361" i="25"/>
  <c r="L360" i="25"/>
  <c r="L359" i="25"/>
  <c r="L358" i="25"/>
  <c r="L357" i="25"/>
  <c r="L356" i="25"/>
  <c r="L355" i="25"/>
  <c r="L354" i="25"/>
  <c r="L353" i="25"/>
  <c r="L352" i="25"/>
  <c r="L351" i="25"/>
  <c r="L350" i="25"/>
  <c r="L349" i="25"/>
  <c r="L348" i="25"/>
  <c r="L347" i="25"/>
  <c r="L346" i="25"/>
  <c r="L345" i="25"/>
  <c r="L344" i="25"/>
  <c r="L343" i="25"/>
  <c r="L342" i="25"/>
  <c r="L341" i="25"/>
  <c r="L340" i="25"/>
  <c r="L339" i="25"/>
  <c r="L338" i="25"/>
  <c r="L337" i="25"/>
  <c r="L336" i="25"/>
  <c r="L335" i="25"/>
  <c r="L334" i="25"/>
  <c r="L333" i="25"/>
  <c r="L332" i="25"/>
  <c r="L331" i="25"/>
  <c r="L330" i="25"/>
  <c r="L329" i="25"/>
  <c r="L328" i="25"/>
  <c r="L327" i="25"/>
  <c r="L326" i="25"/>
  <c r="L325" i="25"/>
  <c r="L324" i="25"/>
  <c r="L323" i="25"/>
  <c r="L322" i="25"/>
  <c r="L321" i="25"/>
  <c r="L320" i="25"/>
  <c r="L319" i="25"/>
  <c r="L318" i="25"/>
  <c r="L317" i="25"/>
  <c r="L316" i="25"/>
  <c r="L315" i="25"/>
  <c r="L314" i="25"/>
  <c r="L313" i="25"/>
  <c r="L312" i="25"/>
  <c r="L311" i="25"/>
  <c r="L310" i="25"/>
  <c r="L309" i="25"/>
  <c r="L308" i="25"/>
  <c r="L307" i="25"/>
  <c r="L306" i="25"/>
  <c r="L305" i="25"/>
  <c r="L304" i="25"/>
  <c r="L303" i="25"/>
  <c r="L302" i="25"/>
  <c r="L301" i="25"/>
  <c r="L300" i="25"/>
  <c r="L299" i="25"/>
  <c r="L298" i="25"/>
  <c r="L297" i="25"/>
  <c r="L296" i="25"/>
  <c r="L295" i="25"/>
  <c r="L294" i="25"/>
  <c r="L293" i="25"/>
  <c r="L292" i="25"/>
  <c r="L291" i="25"/>
  <c r="L290" i="25"/>
  <c r="L289" i="25"/>
  <c r="L288" i="25"/>
  <c r="L287" i="25"/>
  <c r="L286" i="25"/>
  <c r="L285" i="25"/>
  <c r="L284" i="25"/>
  <c r="L283" i="25"/>
  <c r="L282" i="25"/>
  <c r="L281" i="25"/>
  <c r="L280" i="25"/>
  <c r="L279" i="25"/>
  <c r="L278" i="25"/>
  <c r="L277" i="25"/>
  <c r="L276" i="25"/>
  <c r="L275" i="25"/>
  <c r="L274" i="25"/>
  <c r="L273" i="25"/>
  <c r="L272" i="25"/>
  <c r="L271" i="25"/>
  <c r="L270" i="25"/>
  <c r="L269" i="25"/>
  <c r="L268" i="25"/>
  <c r="L267" i="25"/>
  <c r="L266" i="25"/>
  <c r="L265" i="25"/>
  <c r="L264" i="25"/>
  <c r="L263" i="25"/>
  <c r="L262" i="25"/>
  <c r="L261" i="25"/>
  <c r="L260" i="25"/>
  <c r="L259" i="25"/>
  <c r="L258" i="25"/>
  <c r="L257" i="25"/>
  <c r="L256" i="25"/>
  <c r="L255" i="25"/>
  <c r="L254" i="25"/>
  <c r="L253" i="25"/>
  <c r="L252" i="25"/>
  <c r="L251" i="25"/>
  <c r="L250" i="25"/>
  <c r="L249" i="25"/>
  <c r="L248" i="25"/>
  <c r="L247" i="25"/>
  <c r="L246" i="25"/>
  <c r="L245" i="25"/>
  <c r="L244" i="25"/>
  <c r="L243" i="25"/>
  <c r="L242" i="25"/>
  <c r="L241" i="25"/>
  <c r="L240" i="25"/>
  <c r="L239" i="25"/>
  <c r="L238" i="25"/>
  <c r="L237" i="25"/>
  <c r="L236" i="25"/>
  <c r="L235" i="25"/>
  <c r="L234" i="25"/>
  <c r="L233" i="25"/>
  <c r="L232" i="25"/>
  <c r="L231" i="25"/>
  <c r="L230" i="25"/>
  <c r="L229" i="25"/>
  <c r="L228" i="25"/>
  <c r="L227" i="25"/>
  <c r="L226" i="25"/>
  <c r="L225" i="25"/>
  <c r="L224" i="25"/>
  <c r="L223" i="25"/>
  <c r="L222" i="25"/>
  <c r="L221" i="25"/>
  <c r="L220" i="25"/>
  <c r="L219" i="25"/>
  <c r="L218" i="25"/>
  <c r="L217" i="25"/>
  <c r="L216" i="25"/>
  <c r="L215" i="25"/>
  <c r="L214" i="25"/>
  <c r="L213" i="25"/>
  <c r="L212" i="25"/>
  <c r="L211" i="25"/>
  <c r="L210" i="25"/>
  <c r="L209" i="25"/>
  <c r="L208" i="25"/>
  <c r="L207" i="25"/>
  <c r="L206" i="25"/>
  <c r="L205" i="25"/>
  <c r="L204" i="25"/>
  <c r="L203" i="25"/>
  <c r="L202" i="25"/>
  <c r="L201" i="25"/>
  <c r="L200" i="25"/>
  <c r="L199" i="25"/>
  <c r="L198" i="25"/>
  <c r="L197" i="25"/>
  <c r="L196" i="25"/>
  <c r="L195" i="25"/>
  <c r="L194" i="25"/>
  <c r="L193" i="25"/>
  <c r="L192" i="25"/>
  <c r="L191" i="25"/>
  <c r="L190" i="25"/>
  <c r="L189" i="25"/>
  <c r="L188" i="25"/>
  <c r="L187" i="25"/>
  <c r="L186" i="25"/>
  <c r="L185" i="25"/>
  <c r="L184" i="25"/>
  <c r="L183" i="25"/>
  <c r="L182" i="25"/>
  <c r="L181" i="25"/>
  <c r="L180" i="25"/>
  <c r="L179" i="25"/>
  <c r="L178" i="25"/>
  <c r="L177" i="25"/>
  <c r="L176" i="25"/>
  <c r="L175" i="25"/>
  <c r="L174" i="25"/>
  <c r="L173" i="25"/>
  <c r="L172" i="25"/>
  <c r="L171" i="25"/>
  <c r="L170" i="25"/>
  <c r="L169" i="25"/>
  <c r="L168" i="25"/>
  <c r="L167" i="25"/>
  <c r="L166" i="25"/>
  <c r="L165" i="25"/>
  <c r="L164" i="25"/>
  <c r="L163" i="25"/>
  <c r="L162" i="25"/>
  <c r="L161" i="25"/>
  <c r="L160" i="25"/>
  <c r="L159" i="25"/>
  <c r="L158" i="25"/>
  <c r="L157" i="25"/>
  <c r="L156" i="25"/>
  <c r="L155" i="25"/>
  <c r="L154" i="25"/>
  <c r="L153" i="25"/>
  <c r="L152" i="25"/>
  <c r="L151" i="25"/>
  <c r="L150" i="25"/>
  <c r="L149" i="25"/>
  <c r="L148" i="25"/>
  <c r="L147" i="25"/>
  <c r="L146" i="25"/>
  <c r="L145" i="25"/>
  <c r="L144" i="25"/>
  <c r="L143" i="25"/>
  <c r="L142" i="25"/>
  <c r="L141" i="25"/>
  <c r="L140" i="25"/>
  <c r="L139" i="25"/>
  <c r="L138" i="25"/>
  <c r="L137" i="25"/>
  <c r="L136" i="25"/>
  <c r="L135" i="25"/>
  <c r="L134" i="25"/>
  <c r="L133" i="25"/>
  <c r="L132" i="25"/>
  <c r="L131" i="25"/>
  <c r="L130" i="25"/>
  <c r="L129" i="25"/>
  <c r="L128" i="25"/>
  <c r="L127" i="25"/>
  <c r="L126" i="25"/>
  <c r="L125" i="25"/>
  <c r="L124" i="25"/>
  <c r="L123" i="25"/>
  <c r="L122" i="25"/>
  <c r="L121" i="25"/>
  <c r="L120" i="25"/>
  <c r="L119" i="25"/>
  <c r="L118" i="25"/>
  <c r="L117" i="25"/>
  <c r="L116" i="25"/>
  <c r="L115" i="25"/>
  <c r="L114" i="25"/>
  <c r="L113" i="25"/>
  <c r="L112" i="25"/>
  <c r="L111" i="25"/>
  <c r="L110" i="25"/>
  <c r="L109" i="25"/>
  <c r="L108" i="25"/>
  <c r="L107" i="25"/>
  <c r="L106" i="25"/>
  <c r="L105" i="25"/>
  <c r="L104" i="25"/>
  <c r="L103" i="25"/>
  <c r="L102" i="25"/>
  <c r="L101" i="25"/>
  <c r="L100" i="25"/>
  <c r="L99" i="25"/>
  <c r="L98" i="25"/>
  <c r="L97" i="25"/>
  <c r="L96" i="25"/>
  <c r="L95" i="25"/>
  <c r="L94" i="25"/>
  <c r="L93" i="25"/>
  <c r="L92" i="25"/>
  <c r="L91" i="25"/>
  <c r="L90" i="25"/>
  <c r="L89" i="25"/>
  <c r="L88" i="25"/>
  <c r="L87" i="25"/>
  <c r="L86" i="25"/>
  <c r="L85" i="25"/>
  <c r="L84" i="25"/>
  <c r="L83" i="25"/>
  <c r="L82" i="25"/>
  <c r="L81" i="25"/>
  <c r="L80" i="25"/>
  <c r="L79" i="25"/>
  <c r="L78" i="25"/>
  <c r="L77" i="25"/>
  <c r="L76" i="25"/>
  <c r="L75" i="25"/>
  <c r="L74" i="25"/>
  <c r="L73" i="25"/>
  <c r="L72" i="25"/>
  <c r="L71" i="25"/>
  <c r="L70" i="25"/>
  <c r="L69" i="25"/>
  <c r="L68" i="25"/>
  <c r="L67" i="25"/>
  <c r="L66" i="25"/>
  <c r="L65" i="25"/>
  <c r="L64" i="25"/>
  <c r="L62" i="25"/>
  <c r="L53" i="25"/>
  <c r="L50" i="25"/>
  <c r="L45" i="25"/>
  <c r="L43" i="25"/>
  <c r="L42" i="25"/>
  <c r="L41" i="25"/>
  <c r="L40" i="25"/>
  <c r="L39" i="25"/>
  <c r="L38" i="25"/>
  <c r="L37" i="25"/>
  <c r="L36" i="25"/>
  <c r="L35" i="25"/>
  <c r="L32" i="25"/>
  <c r="L31" i="25"/>
  <c r="G31" i="25"/>
  <c r="L30" i="25"/>
  <c r="L29" i="25"/>
  <c r="L28" i="25"/>
  <c r="L27" i="25"/>
  <c r="L26" i="25"/>
  <c r="L25" i="25"/>
  <c r="L24" i="25"/>
  <c r="L21" i="25"/>
  <c r="L20" i="25"/>
  <c r="L19" i="25"/>
  <c r="L18" i="25"/>
  <c r="L17" i="25"/>
  <c r="L16" i="25"/>
  <c r="D16" i="25"/>
  <c r="L15" i="25"/>
  <c r="D15" i="25"/>
  <c r="L14" i="25"/>
  <c r="D14" i="25"/>
  <c r="L13" i="25"/>
  <c r="D13" i="25"/>
  <c r="L12" i="25"/>
  <c r="D12" i="25"/>
  <c r="L11" i="25"/>
  <c r="D11" i="25"/>
  <c r="L10" i="25"/>
  <c r="D10" i="25"/>
  <c r="L9" i="25"/>
  <c r="D9" i="25"/>
  <c r="L8" i="25"/>
  <c r="E8" i="25"/>
  <c r="D8" i="25"/>
  <c r="A1" i="25"/>
  <c r="G30" i="24"/>
  <c r="F30" i="24"/>
  <c r="A1" i="24"/>
  <c r="O26" i="23"/>
  <c r="N26" i="23"/>
  <c r="M26" i="23"/>
  <c r="L26" i="23"/>
  <c r="K26" i="23"/>
  <c r="J26" i="23"/>
  <c r="I26" i="23"/>
  <c r="H26" i="23"/>
  <c r="G26" i="23"/>
  <c r="F26" i="23"/>
  <c r="E26" i="23"/>
  <c r="D26" i="23"/>
  <c r="C26" i="23"/>
  <c r="P26" i="23" s="1"/>
  <c r="B26" i="23"/>
  <c r="O22" i="23"/>
  <c r="N22" i="23"/>
  <c r="M22" i="23"/>
  <c r="L22" i="23"/>
  <c r="K22" i="23"/>
  <c r="J22" i="23"/>
  <c r="I22" i="23"/>
  <c r="H22" i="23"/>
  <c r="G22" i="23"/>
  <c r="F22" i="23"/>
  <c r="E22" i="23"/>
  <c r="D22" i="23"/>
  <c r="C22" i="23"/>
  <c r="B22" i="23"/>
  <c r="O18" i="23"/>
  <c r="N18" i="23"/>
  <c r="M18" i="23"/>
  <c r="L18" i="23"/>
  <c r="K18" i="23"/>
  <c r="J18" i="23"/>
  <c r="I18" i="23"/>
  <c r="H18" i="23"/>
  <c r="G18" i="23"/>
  <c r="F18" i="23"/>
  <c r="E18" i="23"/>
  <c r="D18" i="23"/>
  <c r="C18" i="23"/>
  <c r="P18" i="23" s="1"/>
  <c r="B18" i="23"/>
  <c r="O11" i="23"/>
  <c r="N11" i="23"/>
  <c r="M11" i="23"/>
  <c r="L11" i="23"/>
  <c r="K11" i="23"/>
  <c r="J11" i="23"/>
  <c r="I11" i="23"/>
  <c r="H11" i="23"/>
  <c r="G11" i="23"/>
  <c r="F11" i="23"/>
  <c r="E11" i="23"/>
  <c r="D11" i="23"/>
  <c r="C11" i="23"/>
  <c r="P11" i="23" s="1"/>
  <c r="B11" i="23"/>
  <c r="A2" i="23"/>
  <c r="D56" i="22"/>
  <c r="D52" i="22"/>
  <c r="F52" i="22" s="1"/>
  <c r="F50" i="22"/>
  <c r="F49" i="22"/>
  <c r="F48" i="22"/>
  <c r="F47" i="22"/>
  <c r="F46" i="22"/>
  <c r="F45" i="22"/>
  <c r="F44" i="22"/>
  <c r="F43" i="22"/>
  <c r="F42" i="22"/>
  <c r="F41" i="22"/>
  <c r="F40" i="22"/>
  <c r="F38" i="22"/>
  <c r="F37" i="22"/>
  <c r="F36" i="22"/>
  <c r="F35" i="22"/>
  <c r="F34" i="22"/>
  <c r="F33" i="22"/>
  <c r="F32" i="22"/>
  <c r="F31" i="22"/>
  <c r="F30" i="22"/>
  <c r="F29" i="22"/>
  <c r="F27" i="22"/>
  <c r="F26" i="22"/>
  <c r="F25" i="22"/>
  <c r="F24" i="22"/>
  <c r="F23" i="22"/>
  <c r="F22" i="22"/>
  <c r="F21" i="22"/>
  <c r="F20" i="22"/>
  <c r="F19" i="22"/>
  <c r="F18" i="22"/>
  <c r="F17" i="22"/>
  <c r="F15" i="22"/>
  <c r="F14" i="22"/>
  <c r="F13" i="22"/>
  <c r="F12" i="22"/>
  <c r="F11" i="22"/>
  <c r="F10" i="22"/>
  <c r="F9" i="22"/>
  <c r="F8" i="22"/>
  <c r="F7" i="22"/>
  <c r="F6" i="22"/>
  <c r="A2" i="22"/>
  <c r="D19" i="21"/>
  <c r="E17" i="21"/>
  <c r="D17" i="21"/>
  <c r="E16" i="21"/>
  <c r="D16" i="21"/>
  <c r="E15" i="21"/>
  <c r="D15" i="21"/>
  <c r="G12" i="21"/>
  <c r="F12" i="21"/>
  <c r="G11" i="21"/>
  <c r="F11" i="21"/>
  <c r="G10" i="21"/>
  <c r="F10" i="21"/>
  <c r="F17" i="21" s="1"/>
  <c r="G9" i="21"/>
  <c r="F9" i="21"/>
  <c r="G8" i="21"/>
  <c r="F8" i="21"/>
  <c r="F16" i="21" s="1"/>
  <c r="G7" i="21"/>
  <c r="F7" i="21"/>
  <c r="G6" i="21"/>
  <c r="F6" i="21"/>
  <c r="G5" i="21"/>
  <c r="F5" i="21"/>
  <c r="F15" i="21" s="1"/>
  <c r="A2" i="21"/>
  <c r="E73" i="20"/>
  <c r="C73" i="20"/>
  <c r="F56" i="20"/>
  <c r="E56" i="20"/>
  <c r="D56" i="20"/>
  <c r="C56" i="20"/>
  <c r="F55" i="20"/>
  <c r="E55" i="20"/>
  <c r="D55" i="20"/>
  <c r="C55" i="20"/>
  <c r="F54" i="20"/>
  <c r="E54" i="20"/>
  <c r="D54" i="20"/>
  <c r="C54" i="20"/>
  <c r="F53" i="20"/>
  <c r="E53" i="20"/>
  <c r="D53" i="20"/>
  <c r="C53" i="20"/>
  <c r="A2" i="20"/>
  <c r="B12" i="18"/>
  <c r="B9" i="18"/>
  <c r="B4" i="18"/>
  <c r="A1" i="18"/>
  <c r="E14" i="17"/>
  <c r="D14" i="17"/>
  <c r="C14" i="17"/>
  <c r="B14" i="17"/>
  <c r="E13" i="17"/>
  <c r="D13" i="17"/>
  <c r="C13" i="17"/>
  <c r="B13" i="17"/>
  <c r="E11" i="17"/>
  <c r="A4" i="17"/>
  <c r="A1" i="17"/>
  <c r="A2" i="16"/>
  <c r="G48" i="15"/>
  <c r="F48" i="15"/>
  <c r="D48" i="15"/>
  <c r="G47" i="15"/>
  <c r="F47" i="15"/>
  <c r="D47" i="15"/>
  <c r="G21" i="15"/>
  <c r="F21" i="15"/>
  <c r="D21" i="15"/>
  <c r="G20" i="15"/>
  <c r="F20" i="15"/>
  <c r="D20" i="15"/>
  <c r="A1" i="15"/>
  <c r="D24" i="14"/>
  <c r="E26" i="14" s="1"/>
  <c r="D21" i="14"/>
  <c r="D12" i="14"/>
  <c r="D25" i="14" s="1"/>
  <c r="D26" i="14" s="1"/>
  <c r="A1" i="14"/>
  <c r="E35" i="13"/>
  <c r="D35" i="13"/>
  <c r="E25" i="13"/>
  <c r="D25" i="13"/>
  <c r="E18" i="13"/>
  <c r="D18" i="13"/>
  <c r="E11" i="13"/>
  <c r="E27" i="13" s="1"/>
  <c r="D11" i="13"/>
  <c r="A1" i="13"/>
  <c r="A1" i="12"/>
  <c r="N29" i="11"/>
  <c r="M29" i="11"/>
  <c r="L29" i="11"/>
  <c r="K29" i="11"/>
  <c r="J29" i="11"/>
  <c r="I29" i="11"/>
  <c r="H29" i="11"/>
  <c r="G29" i="11"/>
  <c r="F29" i="11"/>
  <c r="E29" i="11"/>
  <c r="D29" i="11"/>
  <c r="C29" i="11"/>
  <c r="N28" i="11"/>
  <c r="M28" i="11"/>
  <c r="L28" i="11"/>
  <c r="K28" i="11"/>
  <c r="J28" i="11"/>
  <c r="I28" i="11"/>
  <c r="H28" i="11"/>
  <c r="G28" i="11"/>
  <c r="F28" i="11"/>
  <c r="E28" i="11"/>
  <c r="D28" i="11"/>
  <c r="C28" i="11"/>
  <c r="N20" i="11"/>
  <c r="M20" i="11"/>
  <c r="L20" i="11"/>
  <c r="K20" i="11"/>
  <c r="J20" i="11"/>
  <c r="I20" i="11"/>
  <c r="H20" i="11"/>
  <c r="G20" i="11"/>
  <c r="F20" i="11"/>
  <c r="E20" i="11"/>
  <c r="D20" i="11"/>
  <c r="C20" i="11"/>
  <c r="N18" i="11"/>
  <c r="M18" i="11"/>
  <c r="L18" i="11"/>
  <c r="K18" i="11"/>
  <c r="J18" i="11"/>
  <c r="I18" i="11"/>
  <c r="H18" i="11"/>
  <c r="G18" i="11"/>
  <c r="F18" i="11"/>
  <c r="E18" i="11"/>
  <c r="D18" i="11"/>
  <c r="C18" i="11"/>
  <c r="A1" i="11"/>
  <c r="N26" i="10"/>
  <c r="M26" i="10"/>
  <c r="L26" i="10"/>
  <c r="K26" i="10"/>
  <c r="J26" i="10"/>
  <c r="I26" i="10"/>
  <c r="H26" i="10"/>
  <c r="G26" i="10"/>
  <c r="F26" i="10"/>
  <c r="E26" i="10"/>
  <c r="D26" i="10"/>
  <c r="C26" i="10"/>
  <c r="A1" i="10"/>
  <c r="N22" i="9"/>
  <c r="M22" i="9"/>
  <c r="L22" i="9"/>
  <c r="K22" i="9"/>
  <c r="J22" i="9"/>
  <c r="I22" i="9"/>
  <c r="H22" i="9"/>
  <c r="G22" i="9"/>
  <c r="F22" i="9"/>
  <c r="E22" i="9"/>
  <c r="D22" i="9"/>
  <c r="C22" i="9"/>
  <c r="N21" i="9"/>
  <c r="M21" i="9"/>
  <c r="L21" i="9"/>
  <c r="K21" i="9"/>
  <c r="J21" i="9"/>
  <c r="I21" i="9"/>
  <c r="H21" i="9"/>
  <c r="G21" i="9"/>
  <c r="F21" i="9"/>
  <c r="E21" i="9"/>
  <c r="D21" i="9"/>
  <c r="C21" i="9"/>
  <c r="N16" i="9"/>
  <c r="M16" i="9"/>
  <c r="L16" i="9"/>
  <c r="K16" i="9"/>
  <c r="J16" i="9"/>
  <c r="I16" i="9"/>
  <c r="H16" i="9"/>
  <c r="G16" i="9"/>
  <c r="F16" i="9"/>
  <c r="E16" i="9"/>
  <c r="D16" i="9"/>
  <c r="C16" i="9"/>
  <c r="A1" i="9"/>
  <c r="N34" i="8"/>
  <c r="M34" i="8"/>
  <c r="L34" i="8"/>
  <c r="K34" i="8"/>
  <c r="J34" i="8"/>
  <c r="I34" i="8"/>
  <c r="H34" i="8"/>
  <c r="G34" i="8"/>
  <c r="F34" i="8"/>
  <c r="E34" i="8"/>
  <c r="D34" i="8"/>
  <c r="C34" i="8"/>
  <c r="N32" i="8"/>
  <c r="N33" i="8" s="1"/>
  <c r="M32" i="8"/>
  <c r="M33" i="8" s="1"/>
  <c r="L32" i="8"/>
  <c r="L33" i="8" s="1"/>
  <c r="K32" i="8"/>
  <c r="K33" i="8" s="1"/>
  <c r="J32" i="8"/>
  <c r="J33" i="8" s="1"/>
  <c r="I32" i="8"/>
  <c r="I33" i="8" s="1"/>
  <c r="H32" i="8"/>
  <c r="H33" i="8" s="1"/>
  <c r="G32" i="8"/>
  <c r="G33" i="8" s="1"/>
  <c r="F32" i="8"/>
  <c r="F33" i="8" s="1"/>
  <c r="E32" i="8"/>
  <c r="E33" i="8" s="1"/>
  <c r="D32" i="8"/>
  <c r="D33" i="8" s="1"/>
  <c r="C32" i="8"/>
  <c r="C33" i="8" s="1"/>
  <c r="N29" i="8"/>
  <c r="M29" i="8"/>
  <c r="L29" i="8"/>
  <c r="K29" i="8"/>
  <c r="J29" i="8"/>
  <c r="I29" i="8"/>
  <c r="H29" i="8"/>
  <c r="G29" i="8"/>
  <c r="F29" i="8"/>
  <c r="E29" i="8"/>
  <c r="D29" i="8"/>
  <c r="C29" i="8"/>
  <c r="N28" i="8"/>
  <c r="M28" i="8"/>
  <c r="L28" i="8"/>
  <c r="K28" i="8"/>
  <c r="J28" i="8"/>
  <c r="I28" i="8"/>
  <c r="H28" i="8"/>
  <c r="G28" i="8"/>
  <c r="F28" i="8"/>
  <c r="E28" i="8"/>
  <c r="D28" i="8"/>
  <c r="C28" i="8"/>
  <c r="N27" i="8"/>
  <c r="M27" i="8"/>
  <c r="L27" i="8"/>
  <c r="K27" i="8"/>
  <c r="J27" i="8"/>
  <c r="I27" i="8"/>
  <c r="H27" i="8"/>
  <c r="G27" i="8"/>
  <c r="F27" i="8"/>
  <c r="E27" i="8"/>
  <c r="D27" i="8"/>
  <c r="C27" i="8"/>
  <c r="M25" i="8"/>
  <c r="L25" i="8"/>
  <c r="K25" i="8"/>
  <c r="J25" i="8"/>
  <c r="I25" i="8"/>
  <c r="H25" i="8"/>
  <c r="G25" i="8"/>
  <c r="F25" i="8"/>
  <c r="E25" i="8"/>
  <c r="D25" i="8"/>
  <c r="C25" i="8"/>
  <c r="N24" i="8"/>
  <c r="N25" i="8" s="1"/>
  <c r="M24" i="8"/>
  <c r="L24" i="8"/>
  <c r="K24" i="8"/>
  <c r="J24" i="8"/>
  <c r="I24" i="8"/>
  <c r="H24" i="8"/>
  <c r="G24" i="8"/>
  <c r="F24" i="8"/>
  <c r="E24" i="8"/>
  <c r="D24" i="8"/>
  <c r="C24" i="8"/>
  <c r="N22" i="8"/>
  <c r="N23" i="8" s="1"/>
  <c r="M22" i="8"/>
  <c r="M23" i="8" s="1"/>
  <c r="L22" i="8"/>
  <c r="L23" i="8" s="1"/>
  <c r="K22" i="8"/>
  <c r="K23" i="8" s="1"/>
  <c r="J22" i="8"/>
  <c r="J23" i="8" s="1"/>
  <c r="I22" i="8"/>
  <c r="I23" i="8" s="1"/>
  <c r="H22" i="8"/>
  <c r="H23" i="8" s="1"/>
  <c r="G22" i="8"/>
  <c r="G23" i="8" s="1"/>
  <c r="F22" i="8"/>
  <c r="F23" i="8" s="1"/>
  <c r="E22" i="8"/>
  <c r="E23" i="8" s="1"/>
  <c r="D22" i="8"/>
  <c r="D23" i="8" s="1"/>
  <c r="C22" i="8"/>
  <c r="C23" i="8" s="1"/>
  <c r="N19" i="8"/>
  <c r="M19" i="8"/>
  <c r="L19" i="8"/>
  <c r="K19" i="8"/>
  <c r="J19" i="8"/>
  <c r="I19" i="8"/>
  <c r="H19" i="8"/>
  <c r="G19" i="8"/>
  <c r="F19" i="8"/>
  <c r="E19" i="8"/>
  <c r="D19" i="8"/>
  <c r="C19" i="8"/>
  <c r="N17" i="8"/>
  <c r="M17" i="8"/>
  <c r="L17" i="8"/>
  <c r="K17" i="8"/>
  <c r="J17" i="8"/>
  <c r="I17" i="8"/>
  <c r="H17" i="8"/>
  <c r="G17" i="8"/>
  <c r="F17" i="8"/>
  <c r="E17" i="8"/>
  <c r="D17" i="8"/>
  <c r="C17" i="8"/>
  <c r="N15" i="8"/>
  <c r="M15" i="8"/>
  <c r="L15" i="8"/>
  <c r="K15" i="8"/>
  <c r="J15" i="8"/>
  <c r="I15" i="8"/>
  <c r="H15" i="8"/>
  <c r="G15" i="8"/>
  <c r="F15" i="8"/>
  <c r="E15" i="8"/>
  <c r="D15" i="8"/>
  <c r="C15" i="8"/>
  <c r="N13" i="8"/>
  <c r="M13" i="8"/>
  <c r="L13" i="8"/>
  <c r="K13" i="8"/>
  <c r="J13" i="8"/>
  <c r="I13" i="8"/>
  <c r="H13" i="8"/>
  <c r="G13" i="8"/>
  <c r="F13" i="8"/>
  <c r="E13" i="8"/>
  <c r="D13" i="8"/>
  <c r="C13" i="8"/>
  <c r="N9" i="8"/>
  <c r="N10" i="8" s="1"/>
  <c r="M9" i="8"/>
  <c r="M10" i="8" s="1"/>
  <c r="L9" i="8"/>
  <c r="L10" i="8" s="1"/>
  <c r="K9" i="8"/>
  <c r="K10" i="8" s="1"/>
  <c r="J9" i="8"/>
  <c r="J10" i="8" s="1"/>
  <c r="I9" i="8"/>
  <c r="I10" i="8" s="1"/>
  <c r="H9" i="8"/>
  <c r="H10" i="8" s="1"/>
  <c r="G9" i="8"/>
  <c r="G10" i="8" s="1"/>
  <c r="F9" i="8"/>
  <c r="F10" i="8" s="1"/>
  <c r="E9" i="8"/>
  <c r="E10" i="8" s="1"/>
  <c r="D9" i="8"/>
  <c r="D10" i="8" s="1"/>
  <c r="C9" i="8"/>
  <c r="C10" i="8" s="1"/>
  <c r="N7" i="8"/>
  <c r="N8" i="8" s="1"/>
  <c r="M7" i="8"/>
  <c r="M8" i="8" s="1"/>
  <c r="L7" i="8"/>
  <c r="L8" i="8" s="1"/>
  <c r="K7" i="8"/>
  <c r="K8" i="8" s="1"/>
  <c r="J7" i="8"/>
  <c r="J8" i="8" s="1"/>
  <c r="I7" i="8"/>
  <c r="I8" i="8" s="1"/>
  <c r="H7" i="8"/>
  <c r="H8" i="8" s="1"/>
  <c r="G7" i="8"/>
  <c r="G8" i="8" s="1"/>
  <c r="F7" i="8"/>
  <c r="F8" i="8" s="1"/>
  <c r="E7" i="8"/>
  <c r="E8" i="8" s="1"/>
  <c r="D7" i="8"/>
  <c r="D8" i="8" s="1"/>
  <c r="C7" i="8"/>
  <c r="C8" i="8" s="1"/>
  <c r="A1" i="8"/>
  <c r="A22" i="7"/>
  <c r="C19" i="7"/>
  <c r="P19" i="7" s="1"/>
  <c r="N14" i="7"/>
  <c r="M14" i="7"/>
  <c r="L14" i="7"/>
  <c r="K14" i="7"/>
  <c r="K15" i="7" s="1"/>
  <c r="J14" i="7"/>
  <c r="J15" i="7" s="1"/>
  <c r="I14" i="7"/>
  <c r="I15" i="7" s="1"/>
  <c r="H14" i="7"/>
  <c r="H15" i="7" s="1"/>
  <c r="G14" i="7"/>
  <c r="G15" i="7" s="1"/>
  <c r="F14" i="7"/>
  <c r="F15" i="7" s="1"/>
  <c r="E14" i="7"/>
  <c r="E15" i="7" s="1"/>
  <c r="D14" i="7"/>
  <c r="D15" i="7" s="1"/>
  <c r="C14" i="7"/>
  <c r="C15" i="7" s="1"/>
  <c r="N13" i="7"/>
  <c r="N15" i="7" s="1"/>
  <c r="M13" i="7"/>
  <c r="M15" i="7" s="1"/>
  <c r="L13" i="7"/>
  <c r="L15" i="7" s="1"/>
  <c r="K13" i="7"/>
  <c r="J13" i="7"/>
  <c r="I13" i="7"/>
  <c r="H13" i="7"/>
  <c r="G13" i="7"/>
  <c r="F13" i="7"/>
  <c r="E13" i="7"/>
  <c r="D13" i="7"/>
  <c r="C13" i="7"/>
  <c r="A1" i="7"/>
  <c r="N106" i="6"/>
  <c r="M106" i="6"/>
  <c r="L106" i="6"/>
  <c r="K106" i="6"/>
  <c r="J106" i="6"/>
  <c r="I106" i="6"/>
  <c r="H106" i="6"/>
  <c r="G106" i="6"/>
  <c r="F106" i="6"/>
  <c r="E106" i="6"/>
  <c r="D106" i="6"/>
  <c r="C106" i="6"/>
  <c r="N100" i="6"/>
  <c r="M100" i="6"/>
  <c r="L100" i="6"/>
  <c r="K100" i="6"/>
  <c r="J100" i="6"/>
  <c r="I100" i="6"/>
  <c r="H100" i="6"/>
  <c r="G100" i="6"/>
  <c r="F100" i="6"/>
  <c r="E100" i="6"/>
  <c r="D100" i="6"/>
  <c r="C100" i="6"/>
  <c r="N91" i="6"/>
  <c r="N102" i="6" s="1"/>
  <c r="M91" i="6"/>
  <c r="M102" i="6" s="1"/>
  <c r="L91" i="6"/>
  <c r="L102" i="6" s="1"/>
  <c r="K91" i="6"/>
  <c r="K102" i="6" s="1"/>
  <c r="J91" i="6"/>
  <c r="J102" i="6" s="1"/>
  <c r="I91" i="6"/>
  <c r="I102" i="6" s="1"/>
  <c r="H91" i="6"/>
  <c r="H102" i="6" s="1"/>
  <c r="G91" i="6"/>
  <c r="G102" i="6" s="1"/>
  <c r="F91" i="6"/>
  <c r="F102" i="6" s="1"/>
  <c r="E91" i="6"/>
  <c r="E102" i="6" s="1"/>
  <c r="D91" i="6"/>
  <c r="D102" i="6" s="1"/>
  <c r="C91" i="6"/>
  <c r="C102" i="6" s="1"/>
  <c r="N87" i="6"/>
  <c r="M87" i="6"/>
  <c r="L87" i="6"/>
  <c r="K87" i="6"/>
  <c r="J87" i="6"/>
  <c r="I87" i="6"/>
  <c r="H87" i="6"/>
  <c r="G87" i="6"/>
  <c r="F87" i="6"/>
  <c r="E87" i="6"/>
  <c r="D87" i="6"/>
  <c r="C87" i="6"/>
  <c r="N81" i="6"/>
  <c r="M81" i="6"/>
  <c r="L81" i="6"/>
  <c r="K81" i="6"/>
  <c r="J81" i="6"/>
  <c r="I81" i="6"/>
  <c r="H81" i="6"/>
  <c r="G81" i="6"/>
  <c r="F81" i="6"/>
  <c r="E81" i="6"/>
  <c r="D81" i="6"/>
  <c r="C81" i="6"/>
  <c r="N72" i="6"/>
  <c r="M72" i="6"/>
  <c r="L72" i="6"/>
  <c r="K72" i="6"/>
  <c r="J72" i="6"/>
  <c r="I72" i="6"/>
  <c r="H72" i="6"/>
  <c r="G72" i="6"/>
  <c r="F72" i="6"/>
  <c r="E72" i="6"/>
  <c r="D72" i="6"/>
  <c r="C72" i="6"/>
  <c r="N67" i="6"/>
  <c r="N73" i="6" s="1"/>
  <c r="M67" i="6"/>
  <c r="M73" i="6" s="1"/>
  <c r="L67" i="6"/>
  <c r="L73" i="6" s="1"/>
  <c r="K67" i="6"/>
  <c r="K73" i="6" s="1"/>
  <c r="J67" i="6"/>
  <c r="J73" i="6" s="1"/>
  <c r="I67" i="6"/>
  <c r="I73" i="6" s="1"/>
  <c r="H67" i="6"/>
  <c r="H73" i="6" s="1"/>
  <c r="G67" i="6"/>
  <c r="G73" i="6" s="1"/>
  <c r="F67" i="6"/>
  <c r="F73" i="6" s="1"/>
  <c r="E67" i="6"/>
  <c r="E73" i="6" s="1"/>
  <c r="D67" i="6"/>
  <c r="D73" i="6" s="1"/>
  <c r="C67" i="6"/>
  <c r="C73" i="6" s="1"/>
  <c r="N63" i="6"/>
  <c r="M63" i="6"/>
  <c r="L63" i="6"/>
  <c r="K63" i="6"/>
  <c r="J63" i="6"/>
  <c r="I63" i="6"/>
  <c r="H63" i="6"/>
  <c r="G63" i="6"/>
  <c r="F63" i="6"/>
  <c r="E63" i="6"/>
  <c r="D63" i="6"/>
  <c r="C63" i="6"/>
  <c r="N58" i="6"/>
  <c r="N82" i="6" s="1"/>
  <c r="M58" i="6"/>
  <c r="M82" i="6" s="1"/>
  <c r="L58" i="6"/>
  <c r="L82" i="6" s="1"/>
  <c r="K58" i="6"/>
  <c r="K82" i="6" s="1"/>
  <c r="J58" i="6"/>
  <c r="J82" i="6" s="1"/>
  <c r="I58" i="6"/>
  <c r="I82" i="6" s="1"/>
  <c r="H58" i="6"/>
  <c r="H82" i="6" s="1"/>
  <c r="G58" i="6"/>
  <c r="G82" i="6" s="1"/>
  <c r="F58" i="6"/>
  <c r="F82" i="6" s="1"/>
  <c r="E58" i="6"/>
  <c r="E82" i="6" s="1"/>
  <c r="D58" i="6"/>
  <c r="D82" i="6" s="1"/>
  <c r="C58" i="6"/>
  <c r="C82" i="6" s="1"/>
  <c r="N52" i="6"/>
  <c r="M52" i="6"/>
  <c r="L52" i="6"/>
  <c r="K52" i="6"/>
  <c r="J52" i="6"/>
  <c r="I52" i="6"/>
  <c r="H52" i="6"/>
  <c r="G52" i="6"/>
  <c r="F52" i="6"/>
  <c r="E52" i="6"/>
  <c r="D52" i="6"/>
  <c r="C52" i="6"/>
  <c r="N39" i="6"/>
  <c r="M39" i="6"/>
  <c r="L39" i="6"/>
  <c r="K39" i="6"/>
  <c r="J39" i="6"/>
  <c r="I39" i="6"/>
  <c r="H39" i="6"/>
  <c r="G39" i="6"/>
  <c r="F39" i="6"/>
  <c r="E39" i="6"/>
  <c r="D39" i="6"/>
  <c r="C39" i="6"/>
  <c r="N26" i="6"/>
  <c r="M26" i="6"/>
  <c r="L26" i="6"/>
  <c r="K26" i="6"/>
  <c r="J26" i="6"/>
  <c r="I26" i="6"/>
  <c r="H26" i="6"/>
  <c r="G26" i="6"/>
  <c r="F26" i="6"/>
  <c r="E26" i="6"/>
  <c r="D26" i="6"/>
  <c r="C26" i="6"/>
  <c r="N11" i="6"/>
  <c r="N27" i="6" s="1"/>
  <c r="M11" i="6"/>
  <c r="M27" i="6" s="1"/>
  <c r="L11" i="6"/>
  <c r="L27" i="6" s="1"/>
  <c r="K11" i="6"/>
  <c r="K27" i="6" s="1"/>
  <c r="J11" i="6"/>
  <c r="J27" i="6" s="1"/>
  <c r="I11" i="6"/>
  <c r="I27" i="6" s="1"/>
  <c r="H11" i="6"/>
  <c r="H27" i="6" s="1"/>
  <c r="G11" i="6"/>
  <c r="G27" i="6" s="1"/>
  <c r="F11" i="6"/>
  <c r="F27" i="6" s="1"/>
  <c r="E11" i="6"/>
  <c r="E27" i="6" s="1"/>
  <c r="D11" i="6"/>
  <c r="D27" i="6" s="1"/>
  <c r="C11" i="6"/>
  <c r="C27" i="6" s="1"/>
  <c r="A1" i="6"/>
  <c r="N51" i="5"/>
  <c r="M51" i="5"/>
  <c r="L51" i="5"/>
  <c r="K51" i="5"/>
  <c r="J51" i="5"/>
  <c r="I51" i="5"/>
  <c r="H51" i="5"/>
  <c r="G51" i="5"/>
  <c r="F51" i="5"/>
  <c r="E51" i="5"/>
  <c r="D51" i="5"/>
  <c r="C51" i="5"/>
  <c r="N45" i="5"/>
  <c r="N52" i="5" s="1"/>
  <c r="M45" i="5"/>
  <c r="M52" i="5" s="1"/>
  <c r="L45" i="5"/>
  <c r="L52" i="5" s="1"/>
  <c r="K45" i="5"/>
  <c r="K52" i="5" s="1"/>
  <c r="J45" i="5"/>
  <c r="J52" i="5" s="1"/>
  <c r="I45" i="5"/>
  <c r="I52" i="5" s="1"/>
  <c r="H45" i="5"/>
  <c r="H52" i="5" s="1"/>
  <c r="G45" i="5"/>
  <c r="G52" i="5" s="1"/>
  <c r="F45" i="5"/>
  <c r="F52" i="5" s="1"/>
  <c r="E45" i="5"/>
  <c r="E52" i="5" s="1"/>
  <c r="D45" i="5"/>
  <c r="D52" i="5" s="1"/>
  <c r="C45" i="5"/>
  <c r="C52" i="5" s="1"/>
  <c r="N37" i="5"/>
  <c r="M37" i="5"/>
  <c r="L37" i="5"/>
  <c r="K37" i="5"/>
  <c r="J37" i="5"/>
  <c r="I37" i="5"/>
  <c r="H37" i="5"/>
  <c r="G37" i="5"/>
  <c r="F37" i="5"/>
  <c r="E37" i="5"/>
  <c r="D37" i="5"/>
  <c r="C37" i="5"/>
  <c r="N20" i="5"/>
  <c r="M20" i="5"/>
  <c r="L20" i="5"/>
  <c r="K20" i="5"/>
  <c r="J20" i="5"/>
  <c r="I20" i="5"/>
  <c r="H20" i="5"/>
  <c r="G20" i="5"/>
  <c r="F20" i="5"/>
  <c r="E20" i="5"/>
  <c r="D20" i="5"/>
  <c r="C20" i="5"/>
  <c r="N17" i="5"/>
  <c r="N27" i="5" s="1"/>
  <c r="N30" i="5" s="1"/>
  <c r="M17" i="5"/>
  <c r="M27" i="5" s="1"/>
  <c r="M30" i="5" s="1"/>
  <c r="L17" i="5"/>
  <c r="L27" i="5" s="1"/>
  <c r="L30" i="5" s="1"/>
  <c r="K17" i="5"/>
  <c r="K27" i="5" s="1"/>
  <c r="K30" i="5" s="1"/>
  <c r="J17" i="5"/>
  <c r="J27" i="5" s="1"/>
  <c r="J30" i="5" s="1"/>
  <c r="I17" i="5"/>
  <c r="I27" i="5" s="1"/>
  <c r="I30" i="5" s="1"/>
  <c r="H17" i="5"/>
  <c r="H27" i="5" s="1"/>
  <c r="H30" i="5" s="1"/>
  <c r="G17" i="5"/>
  <c r="G27" i="5" s="1"/>
  <c r="G30" i="5" s="1"/>
  <c r="F17" i="5"/>
  <c r="F27" i="5" s="1"/>
  <c r="F30" i="5" s="1"/>
  <c r="E17" i="5"/>
  <c r="E27" i="5" s="1"/>
  <c r="E30" i="5" s="1"/>
  <c r="D17" i="5"/>
  <c r="D27" i="5" s="1"/>
  <c r="D30" i="5" s="1"/>
  <c r="C17" i="5"/>
  <c r="C27" i="5" s="1"/>
  <c r="C30" i="5" s="1"/>
  <c r="N10" i="5"/>
  <c r="N13" i="5" s="1"/>
  <c r="M10" i="5"/>
  <c r="M13" i="5" s="1"/>
  <c r="L10" i="5"/>
  <c r="L13" i="5" s="1"/>
  <c r="K10" i="5"/>
  <c r="K13" i="5" s="1"/>
  <c r="J10" i="5"/>
  <c r="J13" i="5" s="1"/>
  <c r="I10" i="5"/>
  <c r="I13" i="5" s="1"/>
  <c r="H10" i="5"/>
  <c r="H13" i="5" s="1"/>
  <c r="G10" i="5"/>
  <c r="G13" i="5" s="1"/>
  <c r="F10" i="5"/>
  <c r="F13" i="5" s="1"/>
  <c r="E10" i="5"/>
  <c r="E13" i="5" s="1"/>
  <c r="D10" i="5"/>
  <c r="D13" i="5" s="1"/>
  <c r="C10" i="5"/>
  <c r="C13" i="5" s="1"/>
  <c r="A1" i="5"/>
  <c r="C88" i="3"/>
  <c r="C68" i="3"/>
  <c r="D11" i="2" s="1"/>
  <c r="F11" i="2" s="1"/>
  <c r="G11" i="2" s="1"/>
  <c r="C67" i="3"/>
  <c r="C66" i="3"/>
  <c r="C65" i="3"/>
  <c r="C64" i="3"/>
  <c r="C63" i="3"/>
  <c r="C62" i="3"/>
  <c r="C35" i="3"/>
  <c r="C36" i="3" s="1"/>
  <c r="C34" i="3"/>
  <c r="C37" i="3" s="1"/>
  <c r="B23" i="3"/>
  <c r="F29" i="2"/>
  <c r="F15" i="2"/>
  <c r="G15" i="2" s="1"/>
  <c r="D15" i="2"/>
  <c r="D10" i="2"/>
  <c r="F10" i="2" s="1"/>
  <c r="G10" i="2" s="1"/>
  <c r="A2" i="2"/>
  <c r="C46" i="1"/>
  <c r="D43" i="1"/>
  <c r="C41" i="1"/>
  <c r="F38" i="1"/>
  <c r="C38" i="1"/>
  <c r="D19" i="1"/>
  <c r="C19" i="1"/>
  <c r="B19" i="1"/>
  <c r="E18" i="1"/>
  <c r="E15" i="1"/>
  <c r="C15" i="1"/>
  <c r="G2" i="1"/>
  <c r="E2" i="1"/>
  <c r="C2" i="1"/>
  <c r="A2" i="1"/>
  <c r="H61" i="26" l="1"/>
  <c r="N61" i="26"/>
  <c r="H60" i="26"/>
  <c r="N60" i="26"/>
  <c r="H59" i="26"/>
  <c r="N59" i="26"/>
  <c r="H58" i="26"/>
  <c r="N58" i="26"/>
  <c r="H57" i="26"/>
  <c r="N57" i="26"/>
  <c r="H56" i="26"/>
  <c r="N56" i="26"/>
  <c r="H55" i="26"/>
  <c r="N55" i="26"/>
  <c r="H54" i="26"/>
  <c r="N54" i="26"/>
  <c r="H53" i="26"/>
  <c r="N53" i="26"/>
  <c r="H52" i="26"/>
  <c r="N52" i="26"/>
  <c r="H51" i="26"/>
  <c r="N51" i="26"/>
  <c r="H50" i="26"/>
  <c r="N50" i="26"/>
  <c r="D65" i="26"/>
  <c r="C44" i="1" s="1"/>
  <c r="F49" i="26"/>
  <c r="G49" i="26" s="1"/>
  <c r="H31" i="25"/>
  <c r="E47" i="25"/>
  <c r="E16" i="25"/>
  <c r="E15" i="25"/>
  <c r="E11" i="25"/>
  <c r="E13" i="25"/>
  <c r="E12" i="25"/>
  <c r="E14" i="25"/>
  <c r="E10" i="25"/>
  <c r="E9" i="25"/>
  <c r="I8" i="25"/>
  <c r="F8" i="25"/>
  <c r="G8" i="25" s="1"/>
  <c r="I16" i="25"/>
  <c r="H16" i="25"/>
  <c r="P22" i="23"/>
  <c r="D21" i="21"/>
  <c r="E19" i="21"/>
  <c r="H17" i="21"/>
  <c r="G17" i="21"/>
  <c r="H16" i="21"/>
  <c r="G16" i="21"/>
  <c r="H15" i="21"/>
  <c r="G15" i="21"/>
  <c r="E37" i="13"/>
  <c r="E36" i="13"/>
  <c r="D36" i="13"/>
  <c r="D37" i="13" s="1"/>
  <c r="D40" i="13" s="1"/>
  <c r="B29" i="13"/>
  <c r="D27" i="13"/>
  <c r="N20" i="9"/>
  <c r="N27" i="11"/>
  <c r="N30" i="11"/>
  <c r="M20" i="9"/>
  <c r="M27" i="11"/>
  <c r="M30" i="11"/>
  <c r="L20" i="9"/>
  <c r="L27" i="11"/>
  <c r="L30" i="11"/>
  <c r="K20" i="9"/>
  <c r="K27" i="11"/>
  <c r="K30" i="11"/>
  <c r="J20" i="9"/>
  <c r="J27" i="11"/>
  <c r="J30" i="11"/>
  <c r="I20" i="9"/>
  <c r="I27" i="11"/>
  <c r="I30" i="11"/>
  <c r="H20" i="9"/>
  <c r="H27" i="11"/>
  <c r="H30" i="11"/>
  <c r="G20" i="9"/>
  <c r="G27" i="11"/>
  <c r="G30" i="11"/>
  <c r="F20" i="9"/>
  <c r="F27" i="11"/>
  <c r="F30" i="11"/>
  <c r="E20" i="9"/>
  <c r="E27" i="11"/>
  <c r="E30" i="11"/>
  <c r="D20" i="9"/>
  <c r="D27" i="11"/>
  <c r="D30" i="11"/>
  <c r="C20" i="9"/>
  <c r="C27" i="11"/>
  <c r="C30" i="11"/>
  <c r="N108" i="6"/>
  <c r="N7" i="24" s="1"/>
  <c r="N21" i="24" s="1"/>
  <c r="N30" i="8"/>
  <c r="N7" i="9"/>
  <c r="N14" i="11"/>
  <c r="N15" i="11"/>
  <c r="N16" i="11"/>
  <c r="N7" i="12"/>
  <c r="N9" i="24"/>
  <c r="N11" i="24" s="1"/>
  <c r="N17" i="24" s="1"/>
  <c r="M108" i="6"/>
  <c r="M7" i="24" s="1"/>
  <c r="M21" i="24" s="1"/>
  <c r="M30" i="8"/>
  <c r="M7" i="9"/>
  <c r="M14" i="11"/>
  <c r="M15" i="11"/>
  <c r="M16" i="11"/>
  <c r="M7" i="12"/>
  <c r="M9" i="24"/>
  <c r="M11" i="24" s="1"/>
  <c r="L108" i="6"/>
  <c r="L7" i="24" s="1"/>
  <c r="L21" i="24" s="1"/>
  <c r="L30" i="8"/>
  <c r="L7" i="9"/>
  <c r="L14" i="11"/>
  <c r="L15" i="11"/>
  <c r="L16" i="11"/>
  <c r="L7" i="12"/>
  <c r="L9" i="24"/>
  <c r="L11" i="24" s="1"/>
  <c r="L17" i="24" s="1"/>
  <c r="K108" i="6"/>
  <c r="K7" i="24" s="1"/>
  <c r="K21" i="24" s="1"/>
  <c r="K30" i="8"/>
  <c r="K7" i="9"/>
  <c r="K14" i="11"/>
  <c r="K15" i="11"/>
  <c r="K16" i="11"/>
  <c r="K7" i="12"/>
  <c r="K9" i="24"/>
  <c r="J108" i="6"/>
  <c r="J7" i="24" s="1"/>
  <c r="J21" i="24" s="1"/>
  <c r="J30" i="8"/>
  <c r="J7" i="9"/>
  <c r="J14" i="11"/>
  <c r="J15" i="11"/>
  <c r="J16" i="11"/>
  <c r="J7" i="12"/>
  <c r="J9" i="24"/>
  <c r="I108" i="6"/>
  <c r="I7" i="24" s="1"/>
  <c r="I21" i="24" s="1"/>
  <c r="I30" i="8"/>
  <c r="I7" i="9"/>
  <c r="I14" i="11"/>
  <c r="I15" i="11"/>
  <c r="I16" i="11"/>
  <c r="I7" i="12"/>
  <c r="I9" i="24"/>
  <c r="I11" i="24" s="1"/>
  <c r="I17" i="24" s="1"/>
  <c r="H108" i="6"/>
  <c r="H7" i="24" s="1"/>
  <c r="H21" i="24" s="1"/>
  <c r="H30" i="8"/>
  <c r="H7" i="9"/>
  <c r="H7" i="12"/>
  <c r="H14" i="11"/>
  <c r="H15" i="11"/>
  <c r="H16" i="11"/>
  <c r="H9" i="24"/>
  <c r="H11" i="24" s="1"/>
  <c r="H17" i="24" s="1"/>
  <c r="G108" i="6"/>
  <c r="G7" i="24" s="1"/>
  <c r="G21" i="24" s="1"/>
  <c r="G30" i="8"/>
  <c r="G7" i="9"/>
  <c r="G14" i="11"/>
  <c r="G15" i="11"/>
  <c r="G16" i="11"/>
  <c r="G7" i="12"/>
  <c r="G9" i="24"/>
  <c r="G11" i="24" s="1"/>
  <c r="F108" i="6"/>
  <c r="F7" i="24" s="1"/>
  <c r="F21" i="24" s="1"/>
  <c r="F30" i="8"/>
  <c r="F7" i="9"/>
  <c r="F7" i="12"/>
  <c r="F14" i="11"/>
  <c r="F15" i="11"/>
  <c r="F16" i="11"/>
  <c r="F9" i="24"/>
  <c r="F11" i="24" s="1"/>
  <c r="F17" i="24" s="1"/>
  <c r="E108" i="6"/>
  <c r="E7" i="24" s="1"/>
  <c r="E21" i="24" s="1"/>
  <c r="E30" i="8"/>
  <c r="E7" i="9"/>
  <c r="E14" i="11"/>
  <c r="E15" i="11"/>
  <c r="E16" i="11"/>
  <c r="E7" i="12"/>
  <c r="E9" i="24"/>
  <c r="E11" i="24" s="1"/>
  <c r="E17" i="24" s="1"/>
  <c r="D108" i="6"/>
  <c r="D7" i="24" s="1"/>
  <c r="D21" i="24" s="1"/>
  <c r="D30" i="8"/>
  <c r="D7" i="9"/>
  <c r="D7" i="12"/>
  <c r="D14" i="11"/>
  <c r="D15" i="11"/>
  <c r="D16" i="11"/>
  <c r="D9" i="24"/>
  <c r="D11" i="24" s="1"/>
  <c r="D17" i="24" s="1"/>
  <c r="C108" i="6"/>
  <c r="C7" i="24" s="1"/>
  <c r="C21" i="24" s="1"/>
  <c r="C30" i="8"/>
  <c r="C7" i="9"/>
  <c r="C14" i="11"/>
  <c r="C15" i="11"/>
  <c r="C16" i="11"/>
  <c r="C7" i="12"/>
  <c r="C9" i="24"/>
  <c r="C11" i="24" s="1"/>
  <c r="C17" i="24" s="1"/>
  <c r="N9" i="9"/>
  <c r="N8" i="9"/>
  <c r="M8" i="9"/>
  <c r="M9" i="9"/>
  <c r="L9" i="9"/>
  <c r="L8" i="9"/>
  <c r="K8" i="9"/>
  <c r="K9" i="9"/>
  <c r="J8" i="9"/>
  <c r="J18" i="9" s="1"/>
  <c r="J9" i="9"/>
  <c r="I9" i="9"/>
  <c r="I8" i="9"/>
  <c r="I18" i="9" s="1"/>
  <c r="H9" i="9"/>
  <c r="H8" i="9"/>
  <c r="H18" i="9" s="1"/>
  <c r="G9" i="9"/>
  <c r="G8" i="9"/>
  <c r="G18" i="9" s="1"/>
  <c r="F8" i="9"/>
  <c r="F9" i="9"/>
  <c r="E8" i="9"/>
  <c r="E9" i="9"/>
  <c r="D9" i="9"/>
  <c r="D8" i="9"/>
  <c r="C9" i="9"/>
  <c r="C8" i="9"/>
  <c r="N40" i="6"/>
  <c r="N8" i="12"/>
  <c r="N10" i="24"/>
  <c r="M40" i="6"/>
  <c r="M8" i="12"/>
  <c r="M10" i="24"/>
  <c r="L40" i="6"/>
  <c r="L8" i="12"/>
  <c r="L10" i="24"/>
  <c r="K40" i="6"/>
  <c r="K8" i="12"/>
  <c r="K10" i="24"/>
  <c r="K18" i="24" s="1"/>
  <c r="J40" i="6"/>
  <c r="J8" i="12"/>
  <c r="J10" i="24"/>
  <c r="J18" i="24" s="1"/>
  <c r="I40" i="6"/>
  <c r="I8" i="12"/>
  <c r="I10" i="24"/>
  <c r="H40" i="6"/>
  <c r="H8" i="12"/>
  <c r="H10" i="24"/>
  <c r="G40" i="6"/>
  <c r="G8" i="12"/>
  <c r="G10" i="24"/>
  <c r="F40" i="6"/>
  <c r="F8" i="12"/>
  <c r="F10" i="24"/>
  <c r="E40" i="6"/>
  <c r="E8" i="12"/>
  <c r="E10" i="24"/>
  <c r="D40" i="6"/>
  <c r="D8" i="12"/>
  <c r="D10" i="24"/>
  <c r="C40" i="6"/>
  <c r="C8" i="12"/>
  <c r="C10" i="24"/>
  <c r="N33" i="5"/>
  <c r="N7" i="11"/>
  <c r="N9" i="12"/>
  <c r="M33" i="5"/>
  <c r="M7" i="11"/>
  <c r="M9" i="12"/>
  <c r="L33" i="5"/>
  <c r="L7" i="11"/>
  <c r="L9" i="12"/>
  <c r="K33" i="5"/>
  <c r="K7" i="11"/>
  <c r="K9" i="12"/>
  <c r="J33" i="5"/>
  <c r="J7" i="11"/>
  <c r="J9" i="12"/>
  <c r="I33" i="5"/>
  <c r="I7" i="11"/>
  <c r="I9" i="12"/>
  <c r="H33" i="5"/>
  <c r="H7" i="11"/>
  <c r="H9" i="12"/>
  <c r="G33" i="5"/>
  <c r="G7" i="11"/>
  <c r="G9" i="12"/>
  <c r="F33" i="5"/>
  <c r="F7" i="11"/>
  <c r="F9" i="12"/>
  <c r="E33" i="5"/>
  <c r="E7" i="11"/>
  <c r="E9" i="12"/>
  <c r="D33" i="5"/>
  <c r="D7" i="11"/>
  <c r="D9" i="12"/>
  <c r="C33" i="5"/>
  <c r="C7" i="11"/>
  <c r="C9" i="12"/>
  <c r="C40" i="3"/>
  <c r="C41" i="3"/>
  <c r="C42" i="3"/>
  <c r="C43" i="3"/>
  <c r="C44" i="3"/>
  <c r="B48" i="3"/>
  <c r="C48" i="3"/>
  <c r="B49" i="3"/>
  <c r="C49" i="3"/>
  <c r="B50" i="3"/>
  <c r="C50" i="3"/>
  <c r="B51" i="3"/>
  <c r="C51" i="3"/>
  <c r="B52" i="3"/>
  <c r="C52" i="3"/>
  <c r="B53" i="3"/>
  <c r="C53" i="3"/>
  <c r="B54" i="3"/>
  <c r="C54" i="3"/>
  <c r="B55" i="3"/>
  <c r="C55" i="3"/>
  <c r="B56" i="3"/>
  <c r="C56" i="3"/>
  <c r="B57" i="3"/>
  <c r="C57" i="3"/>
  <c r="B58" i="3"/>
  <c r="C58" i="3"/>
  <c r="B59" i="3"/>
  <c r="C59" i="3"/>
  <c r="I20" i="8"/>
  <c r="M20" i="8"/>
  <c r="K18" i="8"/>
  <c r="E18" i="8"/>
  <c r="K20" i="8"/>
  <c r="G20" i="8"/>
  <c r="J18" i="8"/>
  <c r="F18" i="8"/>
  <c r="N20" i="8"/>
  <c r="J20" i="8"/>
  <c r="F20" i="8"/>
  <c r="G18" i="8"/>
  <c r="C18" i="8"/>
  <c r="L20" i="8"/>
  <c r="H20" i="8"/>
  <c r="I18" i="8"/>
  <c r="D18" i="8"/>
  <c r="E20" i="8"/>
  <c r="D20" i="8"/>
  <c r="C20" i="8"/>
  <c r="N18" i="8"/>
  <c r="M18" i="8"/>
  <c r="L18" i="8"/>
  <c r="H18" i="8"/>
  <c r="H49" i="26" l="1"/>
  <c r="N49" i="26"/>
  <c r="D63" i="26" s="1"/>
  <c r="B29" i="27" s="1"/>
  <c r="F41" i="1"/>
  <c r="C47" i="25"/>
  <c r="D47" i="25"/>
  <c r="F21" i="21"/>
  <c r="B13" i="27"/>
  <c r="B35" i="27"/>
  <c r="D16" i="2"/>
  <c r="F16" i="2" s="1"/>
  <c r="G16" i="2" s="1"/>
  <c r="C36" i="1"/>
  <c r="F36" i="1"/>
  <c r="F40" i="13"/>
  <c r="E40" i="13"/>
  <c r="N17" i="9"/>
  <c r="N10" i="9"/>
  <c r="N12" i="9" s="1"/>
  <c r="N15" i="9" s="1"/>
  <c r="N14" i="9"/>
  <c r="M17" i="9"/>
  <c r="M10" i="9"/>
  <c r="M12" i="9" s="1"/>
  <c r="M15" i="9" s="1"/>
  <c r="M14" i="9"/>
  <c r="L17" i="9"/>
  <c r="L10" i="9"/>
  <c r="L12" i="9" s="1"/>
  <c r="L15" i="9" s="1"/>
  <c r="L14" i="9"/>
  <c r="K17" i="9"/>
  <c r="K10" i="9"/>
  <c r="K12" i="9" s="1"/>
  <c r="K15" i="9" s="1"/>
  <c r="K14" i="9"/>
  <c r="J17" i="9"/>
  <c r="J10" i="9"/>
  <c r="J12" i="9" s="1"/>
  <c r="J15" i="9" s="1"/>
  <c r="J14" i="9"/>
  <c r="I17" i="9"/>
  <c r="I10" i="9"/>
  <c r="I12" i="9" s="1"/>
  <c r="I15" i="9" s="1"/>
  <c r="I14" i="9"/>
  <c r="H17" i="9"/>
  <c r="H10" i="9"/>
  <c r="H12" i="9" s="1"/>
  <c r="H15" i="9" s="1"/>
  <c r="H14" i="9"/>
  <c r="G17" i="9"/>
  <c r="G10" i="9"/>
  <c r="G12" i="9" s="1"/>
  <c r="G15" i="9" s="1"/>
  <c r="G14" i="9"/>
  <c r="F17" i="9"/>
  <c r="F10" i="9"/>
  <c r="F12" i="9" s="1"/>
  <c r="F15" i="9" s="1"/>
  <c r="F14" i="9"/>
  <c r="E17" i="9"/>
  <c r="E10" i="9"/>
  <c r="E12" i="9" s="1"/>
  <c r="E15" i="9" s="1"/>
  <c r="E14" i="9"/>
  <c r="D17" i="9"/>
  <c r="D10" i="9"/>
  <c r="D12" i="9" s="1"/>
  <c r="D15" i="9" s="1"/>
  <c r="D14" i="9"/>
  <c r="C17" i="9"/>
  <c r="C10" i="9"/>
  <c r="C12" i="9" s="1"/>
  <c r="C15" i="9" s="1"/>
  <c r="C14" i="9"/>
  <c r="N53" i="6"/>
  <c r="N19" i="11"/>
  <c r="N8" i="24"/>
  <c r="M53" i="6"/>
  <c r="M19" i="11"/>
  <c r="M8" i="24"/>
  <c r="L53" i="6"/>
  <c r="L19" i="11"/>
  <c r="L8" i="24"/>
  <c r="K53" i="6"/>
  <c r="K19" i="11"/>
  <c r="K8" i="24"/>
  <c r="J53" i="6"/>
  <c r="J19" i="11"/>
  <c r="J8" i="24"/>
  <c r="I53" i="6"/>
  <c r="I19" i="11"/>
  <c r="I8" i="24"/>
  <c r="H53" i="6"/>
  <c r="H19" i="11"/>
  <c r="H8" i="24"/>
  <c r="G53" i="6"/>
  <c r="G19" i="11"/>
  <c r="G8" i="24"/>
  <c r="F53" i="6"/>
  <c r="F19" i="11"/>
  <c r="F8" i="24"/>
  <c r="E53" i="6"/>
  <c r="E19" i="11"/>
  <c r="E8" i="24"/>
  <c r="D53" i="6"/>
  <c r="D19" i="11"/>
  <c r="D8" i="24"/>
  <c r="C53" i="6"/>
  <c r="C19" i="11"/>
  <c r="C8" i="24"/>
  <c r="N9" i="11"/>
  <c r="N21" i="11"/>
  <c r="N23" i="11"/>
  <c r="N32" i="11"/>
  <c r="N38" i="5"/>
  <c r="N54" i="5" s="1"/>
  <c r="N58" i="5" s="1"/>
  <c r="M38" i="5"/>
  <c r="M54" i="5" s="1"/>
  <c r="M58" i="5" s="1"/>
  <c r="M9" i="11"/>
  <c r="M21" i="11"/>
  <c r="M23" i="11"/>
  <c r="M32" i="11"/>
  <c r="L9" i="11"/>
  <c r="L21" i="11"/>
  <c r="L23" i="11"/>
  <c r="L32" i="11"/>
  <c r="L38" i="5"/>
  <c r="L54" i="5" s="1"/>
  <c r="L58" i="5" s="1"/>
  <c r="K38" i="5"/>
  <c r="K54" i="5" s="1"/>
  <c r="K58" i="5" s="1"/>
  <c r="K9" i="11"/>
  <c r="K21" i="11"/>
  <c r="K23" i="11"/>
  <c r="K32" i="11"/>
  <c r="J38" i="5"/>
  <c r="J54" i="5" s="1"/>
  <c r="J58" i="5" s="1"/>
  <c r="J9" i="11"/>
  <c r="J21" i="11"/>
  <c r="J23" i="11"/>
  <c r="J32" i="11"/>
  <c r="I9" i="11"/>
  <c r="I21" i="11"/>
  <c r="I23" i="11"/>
  <c r="I32" i="11"/>
  <c r="I38" i="5"/>
  <c r="I54" i="5" s="1"/>
  <c r="I58" i="5" s="1"/>
  <c r="H9" i="11"/>
  <c r="H21" i="11"/>
  <c r="H23" i="11"/>
  <c r="H32" i="11"/>
  <c r="H38" i="5"/>
  <c r="H54" i="5" s="1"/>
  <c r="H58" i="5" s="1"/>
  <c r="G38" i="5"/>
  <c r="G54" i="5" s="1"/>
  <c r="G58" i="5" s="1"/>
  <c r="G9" i="11"/>
  <c r="G21" i="11"/>
  <c r="G23" i="11"/>
  <c r="G32" i="11"/>
  <c r="F38" i="5"/>
  <c r="F54" i="5" s="1"/>
  <c r="F58" i="5" s="1"/>
  <c r="F9" i="11"/>
  <c r="F21" i="11"/>
  <c r="F23" i="11"/>
  <c r="F32" i="11"/>
  <c r="E9" i="11"/>
  <c r="E21" i="11"/>
  <c r="E23" i="11"/>
  <c r="E32" i="11"/>
  <c r="E38" i="5"/>
  <c r="E54" i="5" s="1"/>
  <c r="E58" i="5" s="1"/>
  <c r="D38" i="5"/>
  <c r="D54" i="5" s="1"/>
  <c r="D58" i="5" s="1"/>
  <c r="D9" i="11"/>
  <c r="D21" i="11"/>
  <c r="D23" i="11"/>
  <c r="D32" i="11"/>
  <c r="C38" i="5"/>
  <c r="C54" i="5" s="1"/>
  <c r="C58" i="5" s="1"/>
  <c r="C9" i="11"/>
  <c r="C21" i="11"/>
  <c r="C23" i="11"/>
  <c r="C32" i="11"/>
  <c r="O24" i="9"/>
  <c r="P24" i="9" s="1"/>
  <c r="C30" i="10"/>
  <c r="P30" i="10"/>
  <c r="C8" i="11"/>
  <c r="D8" i="11"/>
  <c r="E8" i="11"/>
  <c r="F8" i="11"/>
  <c r="G8" i="11"/>
  <c r="H8" i="11"/>
  <c r="I8" i="11"/>
  <c r="J8" i="11"/>
  <c r="K8" i="11"/>
  <c r="L8" i="11"/>
  <c r="M8" i="11"/>
  <c r="N8" i="11"/>
  <c r="P8" i="11"/>
  <c r="C8" i="1"/>
  <c r="C12" i="1"/>
  <c r="P14" i="11"/>
  <c r="P19" i="11"/>
  <c r="P21" i="11"/>
  <c r="P23" i="11"/>
  <c r="C25" i="11"/>
  <c r="D25" i="11"/>
  <c r="E25" i="11"/>
  <c r="F25" i="11"/>
  <c r="G25" i="11"/>
  <c r="H25" i="11"/>
  <c r="I25" i="11"/>
  <c r="J25" i="11"/>
  <c r="K25" i="11"/>
  <c r="L25" i="11"/>
  <c r="M25" i="11"/>
  <c r="N25" i="11"/>
  <c r="P28" i="11"/>
  <c r="D6" i="15"/>
  <c r="F6" i="15"/>
  <c r="G6" i="15"/>
  <c r="D7" i="15"/>
  <c r="F7" i="15"/>
  <c r="G7" i="15"/>
  <c r="D8" i="15"/>
  <c r="F8" i="15"/>
  <c r="G8" i="15"/>
  <c r="D9" i="15"/>
  <c r="F9" i="15"/>
  <c r="G9" i="15"/>
  <c r="D11" i="15"/>
  <c r="F11" i="15"/>
  <c r="G11" i="15"/>
  <c r="D12" i="15"/>
  <c r="F12" i="15"/>
  <c r="G12" i="15"/>
  <c r="D13" i="15"/>
  <c r="F13" i="15"/>
  <c r="G13" i="15"/>
  <c r="D15" i="15"/>
  <c r="F15" i="15"/>
  <c r="G15" i="15"/>
  <c r="D16" i="15"/>
  <c r="F16" i="15"/>
  <c r="G16" i="15"/>
  <c r="D17" i="15"/>
  <c r="F17" i="15"/>
  <c r="G17" i="15"/>
  <c r="D19" i="15"/>
  <c r="F19" i="15"/>
  <c r="G19" i="15"/>
  <c r="D23" i="15"/>
  <c r="F23" i="15"/>
  <c r="G23" i="15"/>
  <c r="D24" i="15"/>
  <c r="F24" i="15"/>
  <c r="G24" i="15"/>
  <c r="D25" i="15"/>
  <c r="F25" i="15"/>
  <c r="G25" i="15"/>
  <c r="D26" i="15"/>
  <c r="F26" i="15"/>
  <c r="G26" i="15"/>
  <c r="D28" i="15"/>
  <c r="F28" i="15"/>
  <c r="G28" i="15"/>
  <c r="D30" i="15"/>
  <c r="D32" i="15"/>
  <c r="F32" i="15"/>
  <c r="G32" i="15"/>
  <c r="D33" i="15"/>
  <c r="F33" i="15"/>
  <c r="G33" i="15"/>
  <c r="D34" i="15"/>
  <c r="F34" i="15"/>
  <c r="G34" i="15"/>
  <c r="D36" i="15"/>
  <c r="F36" i="15"/>
  <c r="G36" i="15"/>
  <c r="D37" i="15"/>
  <c r="F37" i="15"/>
  <c r="G37" i="15"/>
  <c r="D39" i="15"/>
  <c r="F39" i="15"/>
  <c r="G39" i="15"/>
  <c r="D40" i="15"/>
  <c r="F40" i="15"/>
  <c r="G40" i="15"/>
  <c r="D41" i="15"/>
  <c r="F41" i="15"/>
  <c r="G41" i="15"/>
  <c r="D43" i="15"/>
  <c r="F43" i="15"/>
  <c r="G43" i="15"/>
  <c r="D44" i="15"/>
  <c r="F44" i="15"/>
  <c r="G44" i="15"/>
  <c r="C8" i="16"/>
  <c r="C14" i="16"/>
  <c r="E14" i="16"/>
  <c r="C16" i="16"/>
  <c r="E16" i="16"/>
  <c r="C18" i="16"/>
  <c r="C24" i="16"/>
  <c r="C26" i="16"/>
  <c r="E26" i="16"/>
  <c r="C28" i="16"/>
  <c r="B7" i="17"/>
  <c r="C7" i="17"/>
  <c r="D7" i="17"/>
  <c r="E7" i="17"/>
  <c r="B8" i="17"/>
  <c r="C8" i="17"/>
  <c r="D8" i="17"/>
  <c r="E8" i="17"/>
  <c r="B9" i="17"/>
  <c r="C9" i="17"/>
  <c r="D9" i="17"/>
  <c r="E9" i="17"/>
  <c r="B10" i="17"/>
  <c r="C10" i="17"/>
  <c r="D10" i="17"/>
  <c r="E10" i="17"/>
  <c r="B11" i="17"/>
  <c r="C11" i="17"/>
  <c r="D11" i="17"/>
  <c r="B5" i="18"/>
  <c r="B6" i="18"/>
  <c r="B7" i="18"/>
  <c r="B8" i="18"/>
  <c r="C8" i="20"/>
  <c r="C11" i="20"/>
  <c r="C16" i="20"/>
  <c r="C21" i="20"/>
  <c r="C42" i="20" s="1"/>
  <c r="C9" i="20"/>
  <c r="C14" i="20"/>
  <c r="C17" i="20"/>
  <c r="C22" i="20"/>
  <c r="B6" i="23"/>
  <c r="B8" i="23"/>
  <c r="E8" i="23"/>
  <c r="H8" i="23"/>
  <c r="H12" i="23" s="1"/>
  <c r="I8" i="23"/>
  <c r="L8" i="23"/>
  <c r="O8" i="23"/>
  <c r="B9" i="23"/>
  <c r="E9" i="23"/>
  <c r="G9" i="23"/>
  <c r="K9" i="23"/>
  <c r="N9" i="23"/>
  <c r="B10" i="23"/>
  <c r="E10" i="23"/>
  <c r="I10" i="23"/>
  <c r="K10" i="23"/>
  <c r="L10" i="23"/>
  <c r="N10" i="23"/>
  <c r="O10" i="23"/>
  <c r="B14" i="23"/>
  <c r="B19" i="23" s="1"/>
  <c r="G14" i="23"/>
  <c r="H14" i="23"/>
  <c r="I14" i="23"/>
  <c r="J14" i="23"/>
  <c r="K14" i="23"/>
  <c r="L14" i="23"/>
  <c r="M14" i="23"/>
  <c r="N14" i="23"/>
  <c r="O14" i="23"/>
  <c r="B15" i="23"/>
  <c r="C15" i="23"/>
  <c r="D15" i="23"/>
  <c r="E15" i="23"/>
  <c r="F15" i="23"/>
  <c r="G15" i="23"/>
  <c r="H15" i="23"/>
  <c r="I15" i="23"/>
  <c r="J15" i="23"/>
  <c r="K15" i="23"/>
  <c r="L15" i="23"/>
  <c r="M15" i="23"/>
  <c r="N15" i="23"/>
  <c r="O15" i="23"/>
  <c r="B16" i="23"/>
  <c r="C16" i="23"/>
  <c r="D16" i="23"/>
  <c r="E16" i="23"/>
  <c r="F16" i="23"/>
  <c r="G16" i="23"/>
  <c r="H16" i="23"/>
  <c r="I16" i="23"/>
  <c r="J16" i="23"/>
  <c r="K16" i="23"/>
  <c r="L16" i="23"/>
  <c r="M16" i="23"/>
  <c r="N16" i="23"/>
  <c r="O16" i="23"/>
  <c r="B17" i="23"/>
  <c r="C17" i="23"/>
  <c r="D17" i="23"/>
  <c r="E17" i="23"/>
  <c r="F17" i="23"/>
  <c r="G17" i="23"/>
  <c r="H17" i="23"/>
  <c r="I17" i="23"/>
  <c r="J17" i="23"/>
  <c r="K17" i="23"/>
  <c r="L17" i="23"/>
  <c r="M17" i="23"/>
  <c r="N17" i="23"/>
  <c r="O17" i="23"/>
  <c r="C7" i="20"/>
  <c r="C12" i="20"/>
  <c r="C15" i="20"/>
  <c r="C18" i="20"/>
  <c r="C23" i="20"/>
  <c r="C8" i="23"/>
  <c r="F8" i="23"/>
  <c r="J8" i="23"/>
  <c r="N8" i="23"/>
  <c r="C9" i="23"/>
  <c r="F9" i="23"/>
  <c r="I9" i="23"/>
  <c r="L9" i="23"/>
  <c r="O9" i="23"/>
  <c r="D10" i="23"/>
  <c r="G10" i="23"/>
  <c r="B23" i="23"/>
  <c r="D23" i="23"/>
  <c r="E23" i="23"/>
  <c r="H23" i="23"/>
  <c r="I23" i="23"/>
  <c r="L23" i="23"/>
  <c r="N23" i="23"/>
  <c r="D24" i="23"/>
  <c r="E24" i="23"/>
  <c r="G24" i="23"/>
  <c r="I24" i="23"/>
  <c r="K24" i="23"/>
  <c r="M24" i="23"/>
  <c r="O24" i="23"/>
  <c r="B25" i="23"/>
  <c r="D25" i="23"/>
  <c r="F25" i="23"/>
  <c r="H25" i="23"/>
  <c r="J25" i="23"/>
  <c r="L25" i="23"/>
  <c r="M25" i="23"/>
  <c r="O25" i="23"/>
  <c r="O7" i="24"/>
  <c r="O8" i="24"/>
  <c r="O9" i="24"/>
  <c r="O10" i="24"/>
  <c r="O11" i="24"/>
  <c r="B12" i="17"/>
  <c r="C12" i="17"/>
  <c r="D12" i="17"/>
  <c r="E12" i="17"/>
  <c r="C6" i="20"/>
  <c r="C10" i="20"/>
  <c r="C20" i="20"/>
  <c r="C41" i="20" s="1"/>
  <c r="D8" i="23"/>
  <c r="G8" i="23"/>
  <c r="K8" i="23"/>
  <c r="M8" i="23"/>
  <c r="D9" i="23"/>
  <c r="H9" i="23"/>
  <c r="J9" i="23"/>
  <c r="M9" i="23"/>
  <c r="C10" i="23"/>
  <c r="F10" i="23"/>
  <c r="H10" i="23"/>
  <c r="J10" i="23"/>
  <c r="M10" i="23"/>
  <c r="C14" i="23"/>
  <c r="D14" i="23"/>
  <c r="D19" i="23" s="1"/>
  <c r="E14" i="23"/>
  <c r="E19" i="23" s="1"/>
  <c r="F14" i="23"/>
  <c r="F19" i="23" s="1"/>
  <c r="C23" i="23"/>
  <c r="F23" i="23"/>
  <c r="G23" i="23"/>
  <c r="J23" i="23"/>
  <c r="K23" i="23"/>
  <c r="M23" i="23"/>
  <c r="O23" i="23"/>
  <c r="B24" i="23"/>
  <c r="C24" i="23"/>
  <c r="F24" i="23"/>
  <c r="H24" i="23"/>
  <c r="J24" i="23"/>
  <c r="L24" i="23"/>
  <c r="N24" i="23"/>
  <c r="C25" i="23"/>
  <c r="E25" i="23"/>
  <c r="G25" i="23"/>
  <c r="I25" i="23"/>
  <c r="K25" i="23"/>
  <c r="N25" i="23"/>
  <c r="O17" i="24"/>
  <c r="O18" i="24"/>
  <c r="O21" i="24"/>
  <c r="E31" i="24"/>
  <c r="E33" i="24"/>
  <c r="E34" i="24"/>
  <c r="C25" i="25"/>
  <c r="D25" i="25"/>
  <c r="E25" i="25"/>
  <c r="F25" i="25"/>
  <c r="C26" i="25"/>
  <c r="D26" i="25"/>
  <c r="E26" i="25"/>
  <c r="F26" i="25"/>
  <c r="C27" i="25"/>
  <c r="D27" i="25"/>
  <c r="E27" i="25"/>
  <c r="F27" i="25"/>
  <c r="C28" i="25"/>
  <c r="D28" i="25"/>
  <c r="E28" i="25"/>
  <c r="F28" i="25"/>
  <c r="C29" i="25"/>
  <c r="D29" i="25"/>
  <c r="E29" i="25"/>
  <c r="F29" i="25"/>
  <c r="F30" i="25"/>
  <c r="D37" i="25"/>
  <c r="D39" i="25"/>
  <c r="D40" i="25"/>
  <c r="D6" i="26"/>
  <c r="E6" i="26"/>
  <c r="B16" i="27" s="1"/>
  <c r="F6" i="26"/>
  <c r="G6" i="26"/>
  <c r="H6" i="26"/>
  <c r="D7" i="26"/>
  <c r="E7" i="26"/>
  <c r="F7" i="26"/>
  <c r="G7" i="26"/>
  <c r="H7" i="26"/>
  <c r="E8" i="26"/>
  <c r="F8" i="26"/>
  <c r="G8" i="26"/>
  <c r="H8" i="26"/>
  <c r="D9" i="26"/>
  <c r="E9" i="26"/>
  <c r="F9" i="26"/>
  <c r="G9" i="26"/>
  <c r="H9" i="26"/>
  <c r="D10" i="26"/>
  <c r="E10" i="26"/>
  <c r="F10" i="26"/>
  <c r="G10" i="26"/>
  <c r="H10" i="26"/>
  <c r="D17" i="26"/>
  <c r="D64" i="26" s="1"/>
  <c r="D19" i="26"/>
  <c r="G22" i="26" s="1"/>
  <c r="G23" i="26" s="1"/>
  <c r="G24" i="26" s="1"/>
  <c r="G25" i="26" s="1"/>
  <c r="G26" i="26" s="1"/>
  <c r="G27" i="26" s="1"/>
  <c r="G28" i="26" s="1"/>
  <c r="G29" i="26" s="1"/>
  <c r="G30" i="26" s="1"/>
  <c r="G31" i="26" s="1"/>
  <c r="G32" i="26" s="1"/>
  <c r="G33" i="26" s="1"/>
  <c r="G34" i="26" s="1"/>
  <c r="G35" i="26" s="1"/>
  <c r="G36" i="26" s="1"/>
  <c r="G37" i="26" s="1"/>
  <c r="G38" i="26" s="1"/>
  <c r="G39" i="26" s="1"/>
  <c r="G40" i="26" s="1"/>
  <c r="G41" i="26" s="1"/>
  <c r="G42" i="26" s="1"/>
  <c r="G43" i="26" s="1"/>
  <c r="G44" i="26" s="1"/>
  <c r="G45" i="26" s="1"/>
  <c r="G46" i="26" s="1"/>
  <c r="G47" i="26" s="1"/>
  <c r="C71" i="26"/>
  <c r="D71" i="26"/>
  <c r="E71" i="26"/>
  <c r="F71" i="26"/>
  <c r="G71" i="26"/>
  <c r="H71" i="26"/>
  <c r="K71" i="26" s="1"/>
  <c r="I71" i="26"/>
  <c r="J71" i="26"/>
  <c r="C72" i="26"/>
  <c r="D72" i="26"/>
  <c r="E72" i="26"/>
  <c r="F72" i="26"/>
  <c r="G72" i="26"/>
  <c r="H72" i="26"/>
  <c r="K72" i="26" s="1"/>
  <c r="I72" i="26"/>
  <c r="J72" i="26"/>
  <c r="A5" i="27"/>
  <c r="B28" i="27"/>
  <c r="O10" i="5"/>
  <c r="O13" i="5"/>
  <c r="O54" i="5"/>
  <c r="O27" i="6"/>
  <c r="O39" i="6"/>
  <c r="O40" i="6"/>
  <c r="O52" i="6"/>
  <c r="C7" i="1"/>
  <c r="O58" i="5"/>
  <c r="O53" i="6"/>
  <c r="O63" i="6"/>
  <c r="O73" i="6"/>
  <c r="O82" i="6"/>
  <c r="O87" i="6"/>
  <c r="O108" i="6"/>
  <c r="E6" i="1"/>
  <c r="E7" i="1"/>
  <c r="E10" i="1"/>
  <c r="E11" i="1"/>
  <c r="E12" i="1"/>
  <c r="C14" i="1"/>
  <c r="G24" i="1"/>
  <c r="B25" i="1"/>
  <c r="G25" i="1"/>
  <c r="B26" i="1"/>
  <c r="B28" i="1"/>
  <c r="G28" i="1"/>
  <c r="D13" i="2"/>
  <c r="F13" i="2" s="1"/>
  <c r="G13" i="2" s="1"/>
  <c r="O33" i="5"/>
  <c r="O38" i="5"/>
  <c r="C6" i="1"/>
  <c r="E8" i="1"/>
  <c r="C10" i="1"/>
  <c r="C11" i="1"/>
  <c r="E14" i="1"/>
  <c r="D7" i="2"/>
  <c r="F7" i="2" s="1"/>
  <c r="G7" i="2" s="1"/>
  <c r="D8" i="2"/>
  <c r="F8" i="2" s="1"/>
  <c r="G8" i="2" s="1"/>
  <c r="D14" i="2"/>
  <c r="F14" i="2" s="1"/>
  <c r="G14" i="2" s="1"/>
  <c r="P7" i="11"/>
  <c r="F30" i="15"/>
  <c r="G30" i="15"/>
  <c r="C4" i="16"/>
  <c r="C6" i="16"/>
  <c r="E6" i="16"/>
  <c r="C10" i="16"/>
  <c r="C12" i="16"/>
  <c r="E12" i="16"/>
  <c r="C20" i="16"/>
  <c r="E24" i="16"/>
  <c r="C22" i="16"/>
  <c r="E22" i="16"/>
  <c r="C4" i="10"/>
  <c r="C4" i="11"/>
  <c r="C4" i="12"/>
  <c r="C4" i="24"/>
  <c r="C4" i="5"/>
  <c r="C4" i="6"/>
  <c r="C4" i="7"/>
  <c r="C4" i="8"/>
  <c r="C4" i="9"/>
  <c r="C5" i="10"/>
  <c r="C5" i="11"/>
  <c r="C5" i="24"/>
  <c r="C5" i="5"/>
  <c r="C5" i="6"/>
  <c r="C5" i="7"/>
  <c r="C5" i="8"/>
  <c r="C5" i="9"/>
  <c r="D4" i="10"/>
  <c r="D4" i="11"/>
  <c r="D4" i="12"/>
  <c r="D4" i="24"/>
  <c r="D4" i="5"/>
  <c r="D4" i="6"/>
  <c r="D4" i="7"/>
  <c r="D4" i="8"/>
  <c r="D4" i="9"/>
  <c r="D5" i="10"/>
  <c r="D5" i="11"/>
  <c r="D5" i="24"/>
  <c r="D5" i="5"/>
  <c r="D5" i="6"/>
  <c r="D5" i="7"/>
  <c r="D5" i="8"/>
  <c r="D5" i="9"/>
  <c r="E4" i="10"/>
  <c r="E4" i="11"/>
  <c r="E4" i="12"/>
  <c r="E4" i="24"/>
  <c r="E4" i="5"/>
  <c r="E4" i="6"/>
  <c r="E4" i="7"/>
  <c r="E4" i="8"/>
  <c r="E4" i="9"/>
  <c r="E5" i="10"/>
  <c r="E5" i="11"/>
  <c r="E5" i="24"/>
  <c r="E5" i="5"/>
  <c r="E5" i="6"/>
  <c r="E5" i="7"/>
  <c r="E5" i="8"/>
  <c r="E5" i="9"/>
  <c r="F4" i="10"/>
  <c r="F4" i="11"/>
  <c r="F4" i="12"/>
  <c r="F4" i="24"/>
  <c r="F4" i="5"/>
  <c r="F4" i="6"/>
  <c r="F4" i="7"/>
  <c r="F4" i="8"/>
  <c r="F4" i="9"/>
  <c r="F5" i="10"/>
  <c r="F5" i="11"/>
  <c r="F5" i="24"/>
  <c r="F5" i="5"/>
  <c r="F5" i="6"/>
  <c r="F5" i="7"/>
  <c r="F5" i="8"/>
  <c r="F5" i="9"/>
  <c r="G4" i="10"/>
  <c r="G4" i="11"/>
  <c r="G4" i="12"/>
  <c r="G4" i="24"/>
  <c r="G4" i="5"/>
  <c r="G4" i="6"/>
  <c r="G4" i="7"/>
  <c r="G4" i="8"/>
  <c r="G4" i="9"/>
  <c r="G5" i="10"/>
  <c r="G5" i="11"/>
  <c r="G5" i="24"/>
  <c r="G5" i="5"/>
  <c r="G5" i="6"/>
  <c r="G5" i="7"/>
  <c r="G5" i="8"/>
  <c r="G5" i="9"/>
  <c r="H4" i="10"/>
  <c r="H4" i="11"/>
  <c r="H4" i="12"/>
  <c r="H4" i="24"/>
  <c r="H4" i="5"/>
  <c r="H4" i="6"/>
  <c r="H4" i="7"/>
  <c r="H4" i="8"/>
  <c r="H4" i="9"/>
  <c r="H5" i="10"/>
  <c r="H5" i="11"/>
  <c r="H5" i="24"/>
  <c r="H5" i="5"/>
  <c r="H5" i="6"/>
  <c r="H5" i="7"/>
  <c r="H5" i="8"/>
  <c r="H5" i="9"/>
  <c r="I4" i="7"/>
  <c r="I4" i="8"/>
  <c r="I4" i="9"/>
  <c r="I4" i="10"/>
  <c r="I4" i="11"/>
  <c r="I4" i="12"/>
  <c r="I4" i="24"/>
  <c r="I4" i="5"/>
  <c r="I4" i="6"/>
  <c r="I5" i="7"/>
  <c r="I5" i="8"/>
  <c r="I5" i="9"/>
  <c r="I5" i="10"/>
  <c r="I5" i="11"/>
  <c r="I5" i="24"/>
  <c r="I5" i="5"/>
  <c r="I5" i="6"/>
  <c r="J4" i="7"/>
  <c r="J4" i="8"/>
  <c r="J4" i="9"/>
  <c r="J4" i="10"/>
  <c r="J4" i="11"/>
  <c r="J4" i="12"/>
  <c r="J4" i="24"/>
  <c r="J4" i="5"/>
  <c r="J4" i="6"/>
  <c r="J5" i="7"/>
  <c r="J5" i="8"/>
  <c r="J5" i="9"/>
  <c r="J5" i="10"/>
  <c r="J5" i="11"/>
  <c r="J5" i="24"/>
  <c r="J5" i="5"/>
  <c r="J5" i="6"/>
  <c r="K4" i="7"/>
  <c r="K4" i="8"/>
  <c r="K4" i="9"/>
  <c r="K4" i="10"/>
  <c r="K4" i="11"/>
  <c r="K4" i="12"/>
  <c r="K4" i="24"/>
  <c r="K4" i="5"/>
  <c r="K4" i="6"/>
  <c r="K5" i="7"/>
  <c r="K5" i="8"/>
  <c r="K5" i="9"/>
  <c r="K5" i="10"/>
  <c r="K5" i="11"/>
  <c r="K5" i="24"/>
  <c r="K5" i="5"/>
  <c r="K5" i="6"/>
  <c r="L4" i="7"/>
  <c r="L4" i="8"/>
  <c r="L4" i="9"/>
  <c r="L4" i="10"/>
  <c r="L4" i="11"/>
  <c r="L4" i="12"/>
  <c r="L4" i="24"/>
  <c r="L4" i="5"/>
  <c r="L4" i="6"/>
  <c r="L5" i="7"/>
  <c r="L5" i="8"/>
  <c r="L5" i="9"/>
  <c r="L5" i="10"/>
  <c r="L5" i="11"/>
  <c r="L5" i="24"/>
  <c r="L5" i="5"/>
  <c r="L5" i="6"/>
  <c r="M4" i="7"/>
  <c r="M4" i="8"/>
  <c r="M4" i="9"/>
  <c r="M4" i="10"/>
  <c r="M4" i="11"/>
  <c r="M4" i="12"/>
  <c r="M4" i="24"/>
  <c r="M4" i="5"/>
  <c r="M4" i="6"/>
  <c r="M5" i="7"/>
  <c r="M5" i="8"/>
  <c r="M5" i="9"/>
  <c r="M5" i="10"/>
  <c r="M5" i="11"/>
  <c r="M5" i="24"/>
  <c r="M5" i="5"/>
  <c r="M5" i="6"/>
  <c r="N4" i="7"/>
  <c r="N4" i="8"/>
  <c r="N4" i="9"/>
  <c r="N4" i="10"/>
  <c r="N4" i="11"/>
  <c r="N4" i="12"/>
  <c r="N4" i="24"/>
  <c r="N4" i="5"/>
  <c r="N4" i="6"/>
  <c r="N5" i="7"/>
  <c r="N5" i="8"/>
  <c r="N5" i="9"/>
  <c r="N5" i="10"/>
  <c r="N5" i="11"/>
  <c r="N5" i="24"/>
  <c r="N5" i="5"/>
  <c r="N5" i="6"/>
  <c r="F16" i="25"/>
  <c r="G16" i="25" s="1"/>
  <c r="F15" i="25"/>
  <c r="G15" i="25" s="1"/>
  <c r="F11" i="25"/>
  <c r="G11" i="25" s="1"/>
  <c r="F13" i="25"/>
  <c r="G13" i="25" s="1"/>
  <c r="F12" i="25"/>
  <c r="G12" i="25" s="1"/>
  <c r="F14" i="25"/>
  <c r="G14" i="25" s="1"/>
  <c r="F10" i="25"/>
  <c r="G10" i="25" s="1"/>
  <c r="M17" i="24"/>
  <c r="K11" i="24"/>
  <c r="K17" i="24" s="1"/>
  <c r="J11" i="24"/>
  <c r="J17" i="24" s="1"/>
  <c r="O7" i="12"/>
  <c r="G17" i="24"/>
  <c r="N18" i="9"/>
  <c r="M18" i="9"/>
  <c r="L18" i="9"/>
  <c r="K18" i="9"/>
  <c r="F18" i="9"/>
  <c r="E18" i="9"/>
  <c r="D18" i="9"/>
  <c r="C18" i="9"/>
  <c r="N18" i="24"/>
  <c r="M18" i="24"/>
  <c r="L18" i="24"/>
  <c r="C18" i="24"/>
  <c r="I18" i="24"/>
  <c r="H18" i="24"/>
  <c r="G18" i="24"/>
  <c r="F18" i="24"/>
  <c r="E18" i="24"/>
  <c r="D18" i="24"/>
  <c r="O8" i="12"/>
  <c r="O9" i="12"/>
  <c r="F9" i="25"/>
  <c r="G9" i="25" s="1"/>
  <c r="I15" i="25"/>
  <c r="H15" i="25"/>
  <c r="I14" i="25"/>
  <c r="H14" i="25"/>
  <c r="I13" i="25"/>
  <c r="H13" i="25"/>
  <c r="I12" i="25"/>
  <c r="I11" i="25"/>
  <c r="H11" i="25"/>
  <c r="I10" i="25"/>
  <c r="E17" i="25"/>
  <c r="I9" i="25"/>
  <c r="H9" i="25"/>
  <c r="H12" i="25"/>
  <c r="H8" i="25"/>
  <c r="H10" i="25"/>
  <c r="B33" i="27" l="1"/>
  <c r="C34" i="1"/>
  <c r="F34" i="1"/>
  <c r="N109" i="6"/>
  <c r="N6" i="12"/>
  <c r="N16" i="24"/>
  <c r="N25" i="24"/>
  <c r="M109" i="6"/>
  <c r="M6" i="12"/>
  <c r="M16" i="24"/>
  <c r="M25" i="24"/>
  <c r="L109" i="6"/>
  <c r="L6" i="12"/>
  <c r="L16" i="24"/>
  <c r="L25" i="24"/>
  <c r="K109" i="6"/>
  <c r="K6" i="12"/>
  <c r="K16" i="24"/>
  <c r="K25" i="24"/>
  <c r="J109" i="6"/>
  <c r="J6" i="12"/>
  <c r="J16" i="24"/>
  <c r="J25" i="24"/>
  <c r="I109" i="6"/>
  <c r="I6" i="12"/>
  <c r="I16" i="24"/>
  <c r="I25" i="24"/>
  <c r="H109" i="6"/>
  <c r="H6" i="12"/>
  <c r="H16" i="24"/>
  <c r="H25" i="24"/>
  <c r="G109" i="6"/>
  <c r="G6" i="12"/>
  <c r="G16" i="24"/>
  <c r="G25" i="24"/>
  <c r="F109" i="6"/>
  <c r="F6" i="12"/>
  <c r="F16" i="24"/>
  <c r="F25" i="24"/>
  <c r="E109" i="6"/>
  <c r="E6" i="12"/>
  <c r="E16" i="24"/>
  <c r="E25" i="24"/>
  <c r="D109" i="6"/>
  <c r="D6" i="12"/>
  <c r="D16" i="24"/>
  <c r="D25" i="24"/>
  <c r="C109" i="6"/>
  <c r="C6" i="12"/>
  <c r="O6" i="12" s="1"/>
  <c r="C16" i="24"/>
  <c r="C25" i="24"/>
  <c r="N60" i="5"/>
  <c r="N7" i="7"/>
  <c r="N10" i="11"/>
  <c r="N11" i="11"/>
  <c r="N12" i="11"/>
  <c r="N33" i="11"/>
  <c r="N10" i="12"/>
  <c r="N12" i="24"/>
  <c r="M60" i="5"/>
  <c r="M7" i="7"/>
  <c r="M10" i="11"/>
  <c r="M11" i="11"/>
  <c r="M12" i="11"/>
  <c r="M33" i="11"/>
  <c r="M10" i="12"/>
  <c r="M12" i="24"/>
  <c r="L60" i="5"/>
  <c r="L7" i="7"/>
  <c r="L10" i="11"/>
  <c r="L11" i="11"/>
  <c r="L12" i="11"/>
  <c r="L33" i="11"/>
  <c r="L10" i="12"/>
  <c r="L12" i="24"/>
  <c r="K60" i="5"/>
  <c r="K7" i="7"/>
  <c r="K10" i="11"/>
  <c r="K11" i="11"/>
  <c r="K12" i="11"/>
  <c r="K33" i="11"/>
  <c r="K10" i="12"/>
  <c r="K12" i="24"/>
  <c r="J60" i="5"/>
  <c r="J7" i="7"/>
  <c r="J10" i="11"/>
  <c r="J11" i="11"/>
  <c r="J12" i="11"/>
  <c r="J33" i="11"/>
  <c r="J10" i="12"/>
  <c r="J12" i="24"/>
  <c r="I60" i="5"/>
  <c r="I7" i="7"/>
  <c r="I10" i="11"/>
  <c r="I11" i="11"/>
  <c r="I12" i="11"/>
  <c r="I33" i="11"/>
  <c r="I10" i="12"/>
  <c r="I12" i="24"/>
  <c r="H60" i="5"/>
  <c r="H7" i="7"/>
  <c r="H10" i="11"/>
  <c r="H11" i="11"/>
  <c r="H12" i="11"/>
  <c r="H33" i="11"/>
  <c r="H10" i="12"/>
  <c r="H12" i="24"/>
  <c r="G60" i="5"/>
  <c r="G7" i="7"/>
  <c r="G10" i="11"/>
  <c r="G11" i="11"/>
  <c r="G12" i="11"/>
  <c r="G33" i="11"/>
  <c r="G10" i="12"/>
  <c r="G12" i="24"/>
  <c r="F60" i="5"/>
  <c r="F7" i="7"/>
  <c r="F10" i="11"/>
  <c r="F11" i="11"/>
  <c r="F12" i="11"/>
  <c r="C30" i="25" s="1"/>
  <c r="F33" i="11"/>
  <c r="F10" i="12"/>
  <c r="F12" i="24"/>
  <c r="E60" i="5"/>
  <c r="E7" i="7"/>
  <c r="E10" i="11"/>
  <c r="E11" i="11"/>
  <c r="E12" i="11"/>
  <c r="E33" i="11"/>
  <c r="E10" i="12"/>
  <c r="E12" i="24"/>
  <c r="D60" i="5"/>
  <c r="D7" i="7"/>
  <c r="D10" i="11"/>
  <c r="D11" i="11"/>
  <c r="E38" i="25" s="1"/>
  <c r="D12" i="11"/>
  <c r="D33" i="11"/>
  <c r="D10" i="12"/>
  <c r="D12" i="24"/>
  <c r="C7" i="7"/>
  <c r="C10" i="11"/>
  <c r="C11" i="11"/>
  <c r="C12" i="11"/>
  <c r="C33" i="11"/>
  <c r="C10" i="12"/>
  <c r="C12" i="24"/>
  <c r="C19" i="24" s="1"/>
  <c r="C60" i="5"/>
  <c r="C60" i="20"/>
  <c r="G60" i="20" s="1"/>
  <c r="D60" i="20"/>
  <c r="E60" i="20"/>
  <c r="F60" i="20"/>
  <c r="D87" i="20"/>
  <c r="E87" i="20"/>
  <c r="D38" i="20"/>
  <c r="C38" i="20"/>
  <c r="E38" i="20"/>
  <c r="D89" i="20"/>
  <c r="E89" i="20"/>
  <c r="F89" i="20" s="1"/>
  <c r="D88" i="20"/>
  <c r="C36" i="20"/>
  <c r="D92" i="20"/>
  <c r="E90" i="20"/>
  <c r="D90" i="20"/>
  <c r="P8" i="23"/>
  <c r="C12" i="23"/>
  <c r="B74" i="24"/>
  <c r="C39" i="1"/>
  <c r="F39" i="1"/>
  <c r="D35" i="20"/>
  <c r="C35" i="20"/>
  <c r="E35" i="20"/>
  <c r="C43" i="20"/>
  <c r="C44" i="20"/>
  <c r="C61" i="20"/>
  <c r="D61" i="20"/>
  <c r="E61" i="20"/>
  <c r="F61" i="20"/>
  <c r="C103" i="20"/>
  <c r="E103" i="20"/>
  <c r="E104" i="20" s="1"/>
  <c r="H103" i="20"/>
  <c r="H104" i="20" s="1"/>
  <c r="D86" i="20"/>
  <c r="G86" i="20" s="1"/>
  <c r="F103" i="20"/>
  <c r="F104" i="20" s="1"/>
  <c r="E86" i="20"/>
  <c r="D103" i="20"/>
  <c r="D104" i="20" s="1"/>
  <c r="G103" i="20"/>
  <c r="G104" i="20" s="1"/>
  <c r="C62" i="20"/>
  <c r="D62" i="20"/>
  <c r="E62" i="20"/>
  <c r="F62" i="20"/>
  <c r="C37" i="20"/>
  <c r="E37" i="20"/>
  <c r="D93" i="20"/>
  <c r="D37" i="20"/>
  <c r="P14" i="23"/>
  <c r="C19" i="23"/>
  <c r="P23" i="23"/>
  <c r="C27" i="23"/>
  <c r="P27" i="23" s="1"/>
  <c r="F31" i="24"/>
  <c r="G31" i="24"/>
  <c r="F33" i="24"/>
  <c r="G33" i="24"/>
  <c r="F34" i="24"/>
  <c r="G34" i="24"/>
  <c r="F37" i="25"/>
  <c r="G37" i="25"/>
  <c r="F39" i="25"/>
  <c r="G39" i="25"/>
  <c r="F40" i="25"/>
  <c r="G40" i="25"/>
  <c r="I6" i="26"/>
  <c r="J6" i="26"/>
  <c r="K6" i="26" s="1"/>
  <c r="F45" i="1"/>
  <c r="C45" i="1"/>
  <c r="I7" i="26"/>
  <c r="J7" i="26"/>
  <c r="K7" i="26" s="1"/>
  <c r="I8" i="26"/>
  <c r="J8" i="26"/>
  <c r="K8" i="26" s="1"/>
  <c r="I9" i="26"/>
  <c r="J9" i="26"/>
  <c r="K9" i="26" s="1"/>
  <c r="I10" i="26"/>
  <c r="J10" i="26"/>
  <c r="K10" i="26" s="1"/>
  <c r="B11" i="27"/>
  <c r="F44" i="1"/>
  <c r="D32" i="16"/>
  <c r="E32" i="16"/>
  <c r="I19" i="25"/>
  <c r="I18" i="25"/>
  <c r="H18" i="25"/>
  <c r="E46" i="25"/>
  <c r="F40" i="1"/>
  <c r="C40" i="1"/>
  <c r="G27" i="25"/>
  <c r="G29" i="25"/>
  <c r="B12" i="23"/>
  <c r="B20" i="23" s="1"/>
  <c r="B28" i="23" s="1"/>
  <c r="B29" i="23" s="1"/>
  <c r="I12" i="23"/>
  <c r="O12" i="23"/>
  <c r="G28" i="25"/>
  <c r="G19" i="23"/>
  <c r="H19" i="23"/>
  <c r="H20" i="23" s="1"/>
  <c r="H28" i="23" s="1"/>
  <c r="I19" i="23"/>
  <c r="J19" i="23"/>
  <c r="K19" i="23"/>
  <c r="L19" i="23"/>
  <c r="M19" i="23"/>
  <c r="N19" i="23"/>
  <c r="O19" i="23"/>
  <c r="P15" i="23"/>
  <c r="P16" i="23"/>
  <c r="P17" i="23"/>
  <c r="H27" i="23"/>
  <c r="L27" i="23"/>
  <c r="G25" i="25"/>
  <c r="G26" i="25"/>
  <c r="F12" i="23"/>
  <c r="F20" i="23" s="1"/>
  <c r="F28" i="23" s="1"/>
  <c r="J12" i="23"/>
  <c r="N12" i="23"/>
  <c r="P9" i="23"/>
  <c r="B27" i="23"/>
  <c r="D27" i="23"/>
  <c r="E27" i="23"/>
  <c r="I27" i="23"/>
  <c r="N27" i="23"/>
  <c r="D12" i="23"/>
  <c r="D20" i="23" s="1"/>
  <c r="D28" i="23" s="1"/>
  <c r="G12" i="23"/>
  <c r="K12" i="23"/>
  <c r="M12" i="23"/>
  <c r="P10" i="23"/>
  <c r="F27" i="23"/>
  <c r="G27" i="23"/>
  <c r="J27" i="23"/>
  <c r="K27" i="23"/>
  <c r="M27" i="23"/>
  <c r="O27" i="23"/>
  <c r="P24" i="23"/>
  <c r="P25" i="23"/>
  <c r="E12" i="23"/>
  <c r="E20" i="23" s="1"/>
  <c r="L12" i="23"/>
  <c r="E32" i="24" l="1"/>
  <c r="O16" i="24"/>
  <c r="E35" i="24"/>
  <c r="O25" i="24"/>
  <c r="N9" i="7"/>
  <c r="N7" i="10"/>
  <c r="N13" i="24"/>
  <c r="N20" i="24" s="1"/>
  <c r="N19" i="24"/>
  <c r="N22" i="24"/>
  <c r="N26" i="24"/>
  <c r="M9" i="7"/>
  <c r="M7" i="10"/>
  <c r="M13" i="24"/>
  <c r="M20" i="24" s="1"/>
  <c r="M19" i="24"/>
  <c r="M22" i="24"/>
  <c r="M26" i="24"/>
  <c r="L9" i="7"/>
  <c r="L7" i="10"/>
  <c r="L13" i="24"/>
  <c r="L20" i="24" s="1"/>
  <c r="L19" i="24"/>
  <c r="L22" i="24"/>
  <c r="L26" i="24"/>
  <c r="K9" i="7"/>
  <c r="K7" i="10"/>
  <c r="K13" i="24"/>
  <c r="K20" i="24" s="1"/>
  <c r="K19" i="24"/>
  <c r="K22" i="24"/>
  <c r="K26" i="24"/>
  <c r="J9" i="7"/>
  <c r="J7" i="10"/>
  <c r="J13" i="24"/>
  <c r="J20" i="24" s="1"/>
  <c r="J19" i="24"/>
  <c r="J22" i="24"/>
  <c r="J26" i="24"/>
  <c r="I9" i="7"/>
  <c r="I7" i="10"/>
  <c r="I13" i="24"/>
  <c r="I20" i="24" s="1"/>
  <c r="I19" i="24"/>
  <c r="I22" i="24"/>
  <c r="I26" i="24"/>
  <c r="H9" i="7"/>
  <c r="H7" i="10"/>
  <c r="H13" i="24"/>
  <c r="H20" i="24" s="1"/>
  <c r="H19" i="24"/>
  <c r="H22" i="24"/>
  <c r="H26" i="24"/>
  <c r="G9" i="7"/>
  <c r="G7" i="10"/>
  <c r="G13" i="24"/>
  <c r="G20" i="24" s="1"/>
  <c r="G19" i="24"/>
  <c r="G22" i="24"/>
  <c r="G26" i="24"/>
  <c r="O60" i="5"/>
  <c r="F29" i="15"/>
  <c r="G29" i="15"/>
  <c r="D29" i="15"/>
  <c r="F9" i="7"/>
  <c r="F7" i="10"/>
  <c r="F13" i="24"/>
  <c r="D6" i="2"/>
  <c r="F6" i="2" s="1"/>
  <c r="G6" i="2" s="1"/>
  <c r="G27" i="1"/>
  <c r="B24" i="1"/>
  <c r="C9" i="1"/>
  <c r="E9" i="1"/>
  <c r="D38" i="25"/>
  <c r="D36" i="25"/>
  <c r="D8" i="26"/>
  <c r="O12" i="24"/>
  <c r="F19" i="24"/>
  <c r="F22" i="24"/>
  <c r="F26" i="24"/>
  <c r="E9" i="7"/>
  <c r="E7" i="10"/>
  <c r="E13" i="24"/>
  <c r="E20" i="24" s="1"/>
  <c r="E19" i="24"/>
  <c r="E42" i="24" s="1"/>
  <c r="E43" i="24" s="1"/>
  <c r="E22" i="24"/>
  <c r="E26" i="24"/>
  <c r="D9" i="7"/>
  <c r="D7" i="10"/>
  <c r="D13" i="24"/>
  <c r="D20" i="24" s="1"/>
  <c r="D19" i="24"/>
  <c r="D42" i="24" s="1"/>
  <c r="D43" i="24" s="1"/>
  <c r="D22" i="24"/>
  <c r="D26" i="24"/>
  <c r="C9" i="7"/>
  <c r="C7" i="10"/>
  <c r="C13" i="24"/>
  <c r="C20" i="24" s="1"/>
  <c r="D30" i="25"/>
  <c r="E30" i="25"/>
  <c r="G30" i="25" s="1"/>
  <c r="G87" i="20"/>
  <c r="F87" i="20"/>
  <c r="G89" i="20"/>
  <c r="E91" i="20"/>
  <c r="C20" i="23"/>
  <c r="P12" i="23"/>
  <c r="D43" i="20"/>
  <c r="G43" i="20" s="1"/>
  <c r="D36" i="20"/>
  <c r="D44" i="20"/>
  <c r="G35" i="20"/>
  <c r="E43" i="20"/>
  <c r="E44" i="20"/>
  <c r="E36" i="20"/>
  <c r="G61" i="20"/>
  <c r="G62" i="20"/>
  <c r="C63" i="20"/>
  <c r="C104" i="20"/>
  <c r="C105" i="20"/>
  <c r="F86" i="20"/>
  <c r="E88" i="20"/>
  <c r="C55" i="24"/>
  <c r="D55" i="24"/>
  <c r="E55" i="24"/>
  <c r="C57" i="24"/>
  <c r="D57" i="24"/>
  <c r="E57" i="24"/>
  <c r="C58" i="24"/>
  <c r="D58" i="24"/>
  <c r="E58" i="24"/>
  <c r="C46" i="25"/>
  <c r="D46" i="25"/>
  <c r="I27" i="25"/>
  <c r="H27" i="25"/>
  <c r="I29" i="25"/>
  <c r="H29" i="25"/>
  <c r="C6" i="23"/>
  <c r="B30" i="23"/>
  <c r="I28" i="25"/>
  <c r="H28" i="25"/>
  <c r="I25" i="25"/>
  <c r="H25" i="25"/>
  <c r="I26" i="25"/>
  <c r="H26" i="25"/>
  <c r="N42" i="24"/>
  <c r="N43" i="24" s="1"/>
  <c r="M42" i="24"/>
  <c r="M43" i="24" s="1"/>
  <c r="L42" i="24"/>
  <c r="L43" i="24" s="1"/>
  <c r="K42" i="24"/>
  <c r="K43" i="24" s="1"/>
  <c r="J42" i="24"/>
  <c r="J43" i="24" s="1"/>
  <c r="I42" i="24"/>
  <c r="I43" i="24" s="1"/>
  <c r="H42" i="24"/>
  <c r="H43" i="24" s="1"/>
  <c r="G42" i="24"/>
  <c r="G43" i="24" s="1"/>
  <c r="C42" i="24"/>
  <c r="C43" i="24" s="1"/>
  <c r="O10" i="12"/>
  <c r="F90" i="20"/>
  <c r="G90" i="20" s="1"/>
  <c r="E63" i="20"/>
  <c r="P19" i="23"/>
  <c r="I20" i="23"/>
  <c r="I28" i="23" s="1"/>
  <c r="O20" i="23"/>
  <c r="O28" i="23" s="1"/>
  <c r="J20" i="23"/>
  <c r="J28" i="23" s="1"/>
  <c r="N20" i="23"/>
  <c r="N28" i="23" s="1"/>
  <c r="G20" i="23"/>
  <c r="G28" i="23" s="1"/>
  <c r="F63" i="20"/>
  <c r="K20" i="23"/>
  <c r="K28" i="23" s="1"/>
  <c r="M20" i="23"/>
  <c r="M28" i="23" s="1"/>
  <c r="E28" i="23"/>
  <c r="L20" i="23"/>
  <c r="L28" i="23" s="1"/>
  <c r="D63" i="20"/>
  <c r="G32" i="24" l="1"/>
  <c r="F32" i="24"/>
  <c r="G35" i="24"/>
  <c r="F35" i="24"/>
  <c r="N17" i="7"/>
  <c r="N24" i="11" s="1"/>
  <c r="N18" i="7"/>
  <c r="N13" i="10"/>
  <c r="N15" i="10"/>
  <c r="N21" i="10" s="1"/>
  <c r="M17" i="7"/>
  <c r="M24" i="11" s="1"/>
  <c r="M18" i="7"/>
  <c r="M13" i="10"/>
  <c r="M15" i="10"/>
  <c r="M21" i="10" s="1"/>
  <c r="L17" i="7"/>
  <c r="L24" i="11" s="1"/>
  <c r="L18" i="7"/>
  <c r="L13" i="10"/>
  <c r="L15" i="10"/>
  <c r="L21" i="10" s="1"/>
  <c r="K17" i="7"/>
  <c r="K24" i="11" s="1"/>
  <c r="K18" i="7"/>
  <c r="K13" i="10"/>
  <c r="K15" i="10"/>
  <c r="K21" i="10" s="1"/>
  <c r="J17" i="7"/>
  <c r="J24" i="11" s="1"/>
  <c r="J18" i="7"/>
  <c r="J13" i="10"/>
  <c r="J15" i="10"/>
  <c r="J21" i="10" s="1"/>
  <c r="I17" i="7"/>
  <c r="I24" i="11" s="1"/>
  <c r="I18" i="7"/>
  <c r="I13" i="10"/>
  <c r="I15" i="10"/>
  <c r="I21" i="10" s="1"/>
  <c r="H17" i="7"/>
  <c r="H24" i="11" s="1"/>
  <c r="H18" i="7"/>
  <c r="H13" i="10"/>
  <c r="H15" i="10"/>
  <c r="H21" i="10" s="1"/>
  <c r="G17" i="7"/>
  <c r="G24" i="11" s="1"/>
  <c r="G18" i="7"/>
  <c r="G13" i="10"/>
  <c r="G15" i="10"/>
  <c r="G21" i="10" s="1"/>
  <c r="D51" i="15"/>
  <c r="B11" i="18"/>
  <c r="B10" i="18"/>
  <c r="D12" i="2"/>
  <c r="F12" i="2" s="1"/>
  <c r="G12" i="2" s="1"/>
  <c r="D53" i="15"/>
  <c r="D54" i="15"/>
  <c r="D52" i="15"/>
  <c r="C13" i="20"/>
  <c r="F17" i="7"/>
  <c r="F18" i="7"/>
  <c r="F13" i="10"/>
  <c r="F22" i="10" s="1"/>
  <c r="F27" i="10" s="1"/>
  <c r="P28" i="10" s="1"/>
  <c r="F15" i="10"/>
  <c r="F21" i="10" s="1"/>
  <c r="O13" i="24"/>
  <c r="F20" i="24"/>
  <c r="G38" i="25"/>
  <c r="F38" i="25"/>
  <c r="G36" i="25"/>
  <c r="F42" i="25" s="1"/>
  <c r="F36" i="25"/>
  <c r="E36" i="24"/>
  <c r="O19" i="24"/>
  <c r="O22" i="24"/>
  <c r="E39" i="24"/>
  <c r="E38" i="24"/>
  <c r="O26" i="24"/>
  <c r="E17" i="7"/>
  <c r="E24" i="11" s="1"/>
  <c r="E18" i="7"/>
  <c r="E13" i="10"/>
  <c r="E15" i="10"/>
  <c r="E21" i="10" s="1"/>
  <c r="E44" i="24"/>
  <c r="E45" i="24"/>
  <c r="D17" i="7"/>
  <c r="D24" i="11" s="1"/>
  <c r="D18" i="7"/>
  <c r="D13" i="10"/>
  <c r="D15" i="10"/>
  <c r="D21" i="10" s="1"/>
  <c r="D44" i="24"/>
  <c r="D45" i="24"/>
  <c r="C17" i="7"/>
  <c r="C24" i="11" s="1"/>
  <c r="C18" i="7"/>
  <c r="C13" i="10"/>
  <c r="C15" i="10"/>
  <c r="C21" i="10" s="1"/>
  <c r="I30" i="25"/>
  <c r="H30" i="25"/>
  <c r="E92" i="20"/>
  <c r="F92" i="20" s="1"/>
  <c r="G92" i="20" s="1"/>
  <c r="E93" i="20"/>
  <c r="G91" i="20"/>
  <c r="F91" i="20"/>
  <c r="P20" i="23"/>
  <c r="C28" i="23"/>
  <c r="G37" i="20"/>
  <c r="D42" i="20"/>
  <c r="G42" i="20" s="1"/>
  <c r="D41" i="20"/>
  <c r="G41" i="20" s="1"/>
  <c r="G36" i="20"/>
  <c r="E42" i="20"/>
  <c r="E41" i="20"/>
  <c r="G63" i="20"/>
  <c r="B65" i="20"/>
  <c r="E94" i="20"/>
  <c r="G88" i="20"/>
  <c r="F88" i="20"/>
  <c r="N44" i="24"/>
  <c r="N45" i="24"/>
  <c r="M44" i="24"/>
  <c r="M45" i="24"/>
  <c r="L44" i="24"/>
  <c r="L45" i="24"/>
  <c r="K44" i="24"/>
  <c r="K45" i="24"/>
  <c r="J44" i="24"/>
  <c r="J45" i="24"/>
  <c r="I44" i="24"/>
  <c r="I45" i="24"/>
  <c r="H44" i="24"/>
  <c r="H45" i="24"/>
  <c r="G44" i="24"/>
  <c r="G45" i="24"/>
  <c r="C44" i="24"/>
  <c r="C45" i="24"/>
  <c r="C56" i="24" l="1"/>
  <c r="D56" i="24"/>
  <c r="E56" i="24"/>
  <c r="C59" i="24"/>
  <c r="D59" i="24"/>
  <c r="E59" i="24"/>
  <c r="D94" i="20"/>
  <c r="F94" i="20" s="1"/>
  <c r="E39" i="20"/>
  <c r="E40" i="20" s="1"/>
  <c r="D39" i="20"/>
  <c r="C39" i="20"/>
  <c r="D9" i="2"/>
  <c r="F9" i="2" s="1"/>
  <c r="G9" i="2" s="1"/>
  <c r="G29" i="2" s="1"/>
  <c r="C13" i="1"/>
  <c r="B27" i="1"/>
  <c r="G26" i="1"/>
  <c r="E13" i="1"/>
  <c r="B19" i="27"/>
  <c r="C19" i="20"/>
  <c r="F24" i="11"/>
  <c r="F42" i="24"/>
  <c r="O20" i="24"/>
  <c r="E37" i="24"/>
  <c r="G42" i="25"/>
  <c r="E48" i="25"/>
  <c r="C42" i="1"/>
  <c r="G36" i="24"/>
  <c r="F36" i="24"/>
  <c r="G39" i="24"/>
  <c r="F39" i="24"/>
  <c r="G38" i="24"/>
  <c r="F38" i="24"/>
  <c r="F93" i="20"/>
  <c r="G93" i="20"/>
  <c r="C29" i="23"/>
  <c r="P28" i="23"/>
  <c r="G94" i="20"/>
  <c r="E95" i="20"/>
  <c r="N22" i="10"/>
  <c r="N27" i="10" s="1"/>
  <c r="K22" i="10"/>
  <c r="K27" i="10" s="1"/>
  <c r="M22" i="10"/>
  <c r="M27" i="10" s="1"/>
  <c r="L22" i="10"/>
  <c r="L27" i="10" s="1"/>
  <c r="J22" i="10"/>
  <c r="J27" i="10" s="1"/>
  <c r="I22" i="10"/>
  <c r="I27" i="10" s="1"/>
  <c r="H22" i="10"/>
  <c r="H27" i="10" s="1"/>
  <c r="G22" i="10"/>
  <c r="G27" i="10" s="1"/>
  <c r="E22" i="10"/>
  <c r="E27" i="10" s="1"/>
  <c r="D22" i="10"/>
  <c r="D27" i="10" s="1"/>
  <c r="C22" i="10"/>
  <c r="C27" i="10" s="1"/>
  <c r="D40" i="20" l="1"/>
  <c r="G39" i="20"/>
  <c r="F30" i="2"/>
  <c r="H29" i="2"/>
  <c r="B21" i="1"/>
  <c r="C40" i="20"/>
  <c r="D95" i="20"/>
  <c r="B99" i="20" s="1"/>
  <c r="F43" i="24"/>
  <c r="O42" i="24"/>
  <c r="G37" i="24"/>
  <c r="F37" i="24"/>
  <c r="C49" i="25"/>
  <c r="D53" i="22"/>
  <c r="C48" i="25"/>
  <c r="F42" i="1"/>
  <c r="C60" i="24"/>
  <c r="D60" i="24"/>
  <c r="E60" i="24"/>
  <c r="C63" i="24"/>
  <c r="D63" i="24"/>
  <c r="E63" i="24"/>
  <c r="C62" i="24"/>
  <c r="D62" i="24"/>
  <c r="E62" i="24"/>
  <c r="D6" i="23"/>
  <c r="C30" i="23"/>
  <c r="D29" i="23"/>
  <c r="C98" i="20"/>
  <c r="F95" i="20"/>
  <c r="G95" i="20"/>
  <c r="G40" i="20" l="1"/>
  <c r="B47" i="20"/>
  <c r="O43" i="24"/>
  <c r="F45" i="24"/>
  <c r="O45" i="24" s="1"/>
  <c r="F44" i="24"/>
  <c r="O44" i="24" s="1"/>
  <c r="C61" i="24"/>
  <c r="D61" i="24"/>
  <c r="E61" i="24"/>
  <c r="B30" i="27"/>
  <c r="B9" i="27"/>
  <c r="E56" i="22"/>
  <c r="C56" i="22"/>
  <c r="F53" i="22"/>
  <c r="F56" i="22" s="1"/>
  <c r="E29" i="23"/>
  <c r="D30" i="23"/>
  <c r="E6" i="23"/>
  <c r="E98" i="20"/>
  <c r="F43" i="1" s="1"/>
  <c r="B10" i="27"/>
  <c r="B25" i="27"/>
  <c r="B34" i="27"/>
  <c r="C43" i="1"/>
  <c r="B67" i="24"/>
  <c r="C68" i="24"/>
  <c r="D68" i="24" s="1"/>
  <c r="C69" i="24"/>
  <c r="D69" i="24" s="1"/>
  <c r="I69" i="24"/>
  <c r="J69" i="24" s="1"/>
  <c r="I68" i="24"/>
  <c r="J68" i="24" s="1"/>
  <c r="F46" i="1" l="1"/>
  <c r="B8" i="27"/>
  <c r="H67" i="24"/>
  <c r="B22" i="27" s="1"/>
  <c r="H68" i="24"/>
  <c r="C67" i="24"/>
  <c r="D67" i="24" s="1"/>
  <c r="F62" i="24"/>
  <c r="F63" i="24"/>
  <c r="F60" i="24"/>
  <c r="F57" i="24"/>
  <c r="F55" i="24"/>
  <c r="F59" i="24"/>
  <c r="F56" i="24"/>
  <c r="F58" i="24"/>
  <c r="F61" i="24"/>
  <c r="B31" i="27"/>
  <c r="C35" i="1"/>
  <c r="F29" i="23"/>
  <c r="E30" i="23"/>
  <c r="F6" i="23"/>
  <c r="G56" i="22"/>
  <c r="B69" i="24"/>
  <c r="H69" i="24"/>
  <c r="I67" i="24"/>
  <c r="J67" i="24" s="1"/>
  <c r="B68" i="24"/>
  <c r="G29" i="23" l="1"/>
  <c r="F30" i="23"/>
  <c r="G6" i="23"/>
  <c r="B12" i="27"/>
  <c r="F35" i="1"/>
  <c r="H29" i="23" l="1"/>
  <c r="G30" i="23"/>
  <c r="H6" i="23"/>
  <c r="I29" i="23" l="1"/>
  <c r="H30" i="23"/>
  <c r="I6" i="23"/>
  <c r="J29" i="23" l="1"/>
  <c r="I30" i="23"/>
  <c r="J6" i="23"/>
  <c r="K29" i="23" l="1"/>
  <c r="J30" i="23"/>
  <c r="K6" i="23"/>
  <c r="L29" i="23" l="1"/>
  <c r="K30" i="23"/>
  <c r="L6" i="23"/>
  <c r="M29" i="23" l="1"/>
  <c r="L30" i="23"/>
  <c r="M6" i="23"/>
  <c r="N29" i="23" l="1"/>
  <c r="M30" i="23"/>
  <c r="N6" i="23"/>
  <c r="O29" i="23" l="1"/>
  <c r="N30" i="23"/>
  <c r="O6" i="23"/>
  <c r="E15" i="17" l="1"/>
  <c r="D15" i="17"/>
  <c r="C15" i="17"/>
  <c r="B15" i="17"/>
  <c r="A33" i="23"/>
  <c r="P29" i="23"/>
  <c r="O30" i="23"/>
  <c r="P30" i="23" s="1"/>
  <c r="C37" i="1" l="1"/>
  <c r="F37" i="1"/>
</calcChain>
</file>

<file path=xl/sharedStrings.xml><?xml version="1.0" encoding="utf-8"?>
<sst xmlns="http://schemas.openxmlformats.org/spreadsheetml/2006/main" count="2281" uniqueCount="1848">
  <si>
    <t>CMA AUTO-ANALYTICS  ·  EXECUTIVE DASHBOARD  ·  SANCTION COMMITTEE SNAPSHOT</t>
  </si>
  <si>
    <t xml:space="preserve">  📊  KEY PERFORMANCE INDICATORS</t>
  </si>
  <si>
    <t xml:space="preserve">  🔴  RISK SCORE &amp; RECOMMENDATION</t>
  </si>
  <si>
    <t>Metric</t>
  </si>
  <si>
    <t>Latest Aud</t>
  </si>
  <si>
    <t>Threshold</t>
  </si>
  <si>
    <t>Status</t>
  </si>
  <si>
    <t>Score Basis</t>
  </si>
  <si>
    <t>Net Sales (₹ Cr)</t>
  </si>
  <si>
    <t>— (trend)</t>
  </si>
  <si>
    <t>"Absolute revenue base — check YoY trajectory"</t>
  </si>
  <si>
    <t>Sales Growth YoY (Latest Aud)</t>
  </si>
  <si>
    <t>≥ MinSalesGrowth</t>
  </si>
  <si>
    <t>"Revenue momentum — verify with GST/banking"</t>
  </si>
  <si>
    <t>EBITDA Margin</t>
  </si>
  <si>
    <t>≥ 10% (watch)</t>
  </si>
  <si>
    <t>"Cash-generating capacity — EBITDA/Sales"</t>
  </si>
  <si>
    <t>PAT Margin</t>
  </si>
  <si>
    <t>≥ 2%</t>
  </si>
  <si>
    <t>"Retained earnings power"</t>
  </si>
  <si>
    <t>Current Ratio</t>
  </si>
  <si>
    <t>≥ MinCR</t>
  </si>
  <si>
    <t>"Short-term solvency buffer"</t>
  </si>
  <si>
    <t>TOL / TNW</t>
  </si>
  <si>
    <t>≤ MaxTOLTNW</t>
  </si>
  <si>
    <t>"Balance sheet leverage — outside liabilities vs equity"</t>
  </si>
  <si>
    <t>Interest Coverage (ICR)</t>
  </si>
  <si>
    <t>≥ MinICR</t>
  </si>
  <si>
    <t>"Operating profit coverage of interest cost"</t>
  </si>
  <si>
    <t>DSCR (Gross, Latest Aud Yr)</t>
  </si>
  <si>
    <t>≥ MinDSCR_Any</t>
  </si>
  <si>
    <t>"Term loan debt service — cash accruals vs repayment"</t>
  </si>
  <si>
    <t>Cash Conversion Cycle (Days)</t>
  </si>
  <si>
    <t>&lt; 120 days</t>
  </si>
  <si>
    <t>"Inv days + DSO − DPO; WC efficiency"</t>
  </si>
  <si>
    <t>Red Flags Triggered (/ 30 tests)</t>
  </si>
  <si>
    <t>0 preferred</t>
  </si>
  <si>
    <t>"Automated diagnostic battery — review each flag"</t>
  </si>
  <si>
    <t xml:space="preserve">  🚨  RED FLAG VERDICT &amp; LENDING STANCE</t>
  </si>
  <si>
    <t>Total Tests Triggered</t>
  </si>
  <si>
    <t>Overall Risk Score (/ 30)</t>
  </si>
  <si>
    <t>Red Flag Verdict</t>
  </si>
  <si>
    <t>Credit Scoring Engine Score (see 0B_Credit_Scoring sheet):</t>
  </si>
  <si>
    <t xml:space="preserve">  💚  TOP 5 CREDIT STRENGTHS (auto-assessed)</t>
  </si>
  <si>
    <t xml:space="preserve">  🔴  TOP 5 RISKS</t>
  </si>
  <si>
    <t xml:space="preserve">  🚨  REGULATORY COMPLIANCE &amp; ADVANCED RISK STATUS</t>
  </si>
  <si>
    <t>Compliance Module</t>
  </si>
  <si>
    <t>Status / Score</t>
  </si>
  <si>
    <t>Regulator / Source</t>
  </si>
  <si>
    <t>Implication for Sanction Committee</t>
  </si>
  <si>
    <t>Chapter XIA — Current/OD Account</t>
  </si>
  <si>
    <t>RBI Amendment Apr 2026</t>
  </si>
  <si>
    <t>Early Warning Signals (RBI MD)</t>
  </si>
  <si>
    <t>RBI Master Direction Jul 2024</t>
  </si>
  <si>
    <t>ESG &amp; Climate Resilience</t>
  </si>
  <si>
    <t>RBI Climate MD Nov 2025</t>
  </si>
  <si>
    <t>13-Week Cash Flow Liquidity</t>
  </si>
  <si>
    <t>Treasury Best Practice</t>
  </si>
  <si>
    <t>Project Finance Overlay</t>
  </si>
  <si>
    <t>RBI Project Finance Dir 2025</t>
  </si>
  <si>
    <t>Probabilistic Default Model (Ohlson)</t>
  </si>
  <si>
    <t>Logistic Regression Model</t>
  </si>
  <si>
    <t>Benford's Law (Forensic)</t>
  </si>
  <si>
    <t>AICPA Forensic Std</t>
  </si>
  <si>
    <t>Rolling Z-Score (Trend)</t>
  </si>
  <si>
    <t>Statistical Z-Test</t>
  </si>
  <si>
    <t>Earnings Manipulation (Beneish)</t>
  </si>
  <si>
    <t>Beneish M-Score</t>
  </si>
  <si>
    <t>Causal Cascade DSCR (selected scenario)</t>
  </si>
  <si>
    <t>13-Week Forecast (FORECAST.ETS)</t>
  </si>
  <si>
    <t>Holt-Winters ETS</t>
  </si>
  <si>
    <t>Annual Forecast Yr+1 (Net Sales)</t>
  </si>
  <si>
    <t>FORECAST.ETS</t>
  </si>
  <si>
    <t>Credit Justification Memorandum</t>
  </si>
  <si>
    <t>Auto-NLG (Module 5)</t>
  </si>
  <si>
    <t>DYNAMIC CREDIT SCORING ENGINE  |  Weighted 10-Category Risk Model</t>
  </si>
  <si>
    <t>Scoring Category</t>
  </si>
  <si>
    <t>Weight %</t>
  </si>
  <si>
    <t>Auto-Score (0-10)</t>
  </si>
  <si>
    <t>Manual Override</t>
  </si>
  <si>
    <t>Effective Score</t>
  </si>
  <si>
    <t>Weighted Score</t>
  </si>
  <si>
    <t>Basis / Commentary</t>
  </si>
  <si>
    <t>1. Profitability</t>
  </si>
  <si>
    <t>"OPM &amp; PAT Margin vs thresholds. ≥15%/≥8%→10; ≥5%/≥2%→4"</t>
  </si>
  <si>
    <t>2. Liquidity</t>
  </si>
  <si>
    <t>"Current Ratio &amp; Quick Ratio. CR≥2.0/QR≥1.5→10; CR&lt;MinCR→≤4"</t>
  </si>
  <si>
    <t>3. Leverage</t>
  </si>
  <si>
    <t>"TOL/TNW — lower is better. ≤1.5→10; ≤2.5→6; &gt;MaxTOLTNW→2"</t>
  </si>
  <si>
    <t>4. Debt Coverage</t>
  </si>
  <si>
    <t>"DSCR &amp; ICR. DSCR≥2.5/ICR≥5→10. Breach of either→≤4"</t>
  </si>
  <si>
    <t>5. Banking Conduct</t>
  </si>
  <si>
    <t>"Manual input (0-10). Default=5. Rate based on utilisation, cheque returns, overdrawing, EMI history"</t>
  </si>
  <si>
    <t>6. Industry Outlook</t>
  </si>
  <si>
    <t>"Auto-pulled from Industry_Outlook via Setup. Positive→9; Stable→7; Cautious→5; Negative→3"</t>
  </si>
  <si>
    <t>7. Financial Trend Stability</t>
  </si>
  <si>
    <t>"Deducts 1.2 pts per red flag triggered. Clean sheet (0 flags)→10; 8 flags→~0"</t>
  </si>
  <si>
    <t>8. Working Capital Discipline</t>
  </si>
  <si>
    <t>"CCC efficiency. CCC&lt;60d→10; CCC&lt;90d→8; CCC&gt;180d→2. Zero CCC treated as efficient"</t>
  </si>
  <si>
    <t>9. Promoter Contribution</t>
  </si>
  <si>
    <t>"TNW/(TNW+TTL). ≥50%→10; ≥40%→8; ≥25%→4. Low promoter skin-in→lower score"</t>
  </si>
  <si>
    <t>10. Projection Reliability</t>
  </si>
  <si>
    <t>"Manual input (0-10). Default=5. Assess: CAGR vs history, margin assumptions, capacity utilisation realism"</t>
  </si>
  <si>
    <t>11. ESG Risk &amp; Climate Resilience</t>
  </si>
  <si>
    <t>"Auto-pulled from 16_ESG_Scorecard total ÷ 10. Includes hard-to-abate sector penalty if applicable."</t>
  </si>
  <si>
    <t>SCORE SUMMARY</t>
  </si>
  <si>
    <t>Score Basis / Guidance</t>
  </si>
  <si>
    <t>Total Weights Used</t>
  </si>
  <si>
    <t>TOTAL WEIGHTED SCORE</t>
  </si>
  <si>
    <t>Internal Risk Grade</t>
  </si>
  <si>
    <t>NOTE: Column E (Manual Override) accepts 0-10 inputs for Banking Conduct &amp; Projection Reliability categories. Override any auto-score by entering a value in Column E. Auto-scores reflect latest audited year ratios only.</t>
  </si>
  <si>
    <t>CMA AUTO-ANALYTICS TOOL  |  v2.0  |  Borrower Setup</t>
  </si>
  <si>
    <t>Fill the YELLOW cells. Computed cells (green text) auto-derive. Year structure auto-builds across all data sheets based on inputs in Section 2.</t>
  </si>
  <si>
    <t>1. BORROWER IDENTIFICATION</t>
  </si>
  <si>
    <t>Borrower Name</t>
  </si>
  <si>
    <t>→</t>
  </si>
  <si>
    <t>(Enter legal name)</t>
  </si>
  <si>
    <t>Customer / CIF ID</t>
  </si>
  <si>
    <t>(Bank's customer ID)</t>
  </si>
  <si>
    <t>Industry / Activity</t>
  </si>
  <si>
    <t>(Select from dropdown)</t>
  </si>
  <si>
    <t>Internal Rating</t>
  </si>
  <si>
    <t>(e.g., SB-3, AAA-)</t>
  </si>
  <si>
    <t>External Rating</t>
  </si>
  <si>
    <t>(e.g., CRISIL A+, ICRA AA-)</t>
  </si>
  <si>
    <t>2. YEAR CONFIGURATION  (drives column structure across all data sheets)</t>
  </si>
  <si>
    <t>First Fiscal Year (start year, e.g., 2022 for FY2022-23)</t>
  </si>
  <si>
    <t>(Start year of first audited FY)</t>
  </si>
  <si>
    <t>Last Fiscal Year (start year, e.g., 2029 for FY2029-30)</t>
  </si>
  <si>
    <t>(Start year of last projected FY)</t>
  </si>
  <si>
    <t>Current Fiscal Year (start year, e.g., 2025 for FY2025-26)</t>
  </si>
  <si>
    <t>(THE CURRENT FY = Estimated)</t>
  </si>
  <si>
    <t>3. PROPOSAL TYPE &amp; LIMITS</t>
  </si>
  <si>
    <t>Proposal Type</t>
  </si>
  <si>
    <t>Facility</t>
  </si>
  <si>
    <t>Existing Limit (₹ Cr)</t>
  </si>
  <si>
    <t>Proposed Limit (₹ Cr)</t>
  </si>
  <si>
    <t>Notes</t>
  </si>
  <si>
    <t>FB - Working Capital</t>
  </si>
  <si>
    <t>FB - Term Loan Outstanding</t>
  </si>
  <si>
    <t>Non-Fund Based (LC/BG)</t>
  </si>
  <si>
    <t>Note:</t>
  </si>
  <si>
    <t>4. KEY THRESHOLDS  (override defaults if industry/internal policy varies)</t>
  </si>
  <si>
    <t>Min Acceptable Current Ratio</t>
  </si>
  <si>
    <t>Acceptable Sales Growth Floor (Y-o-Y)</t>
  </si>
  <si>
    <t>Min Acceptable DSCR (any year)</t>
  </si>
  <si>
    <t>Min FACR (TL Coverage)</t>
  </si>
  <si>
    <t>Min Acceptable Avg DSCR</t>
  </si>
  <si>
    <t>Max NWC Erosion vs Prior Yr</t>
  </si>
  <si>
    <t>Max Acceptable TOL/TNW</t>
  </si>
  <si>
    <t>Max Inventory-Days Increase</t>
  </si>
  <si>
    <t>Max Acceptable Leverage (Debt/EBITDA)</t>
  </si>
  <si>
    <t>Max DSO Increase (Y-o-Y)</t>
  </si>
  <si>
    <t>Min Acceptable Interest Coverage (ICR)</t>
  </si>
  <si>
    <t>Max DPO Stretch</t>
  </si>
  <si>
    <t>5. COMPUTED YEAR ARCHITECTURE  (auto-derived — do not edit)</t>
  </si>
  <si>
    <t>Number of Fiscal Years</t>
  </si>
  <si>
    <t>(Last - First + 1)</t>
  </si>
  <si>
    <t>Prior FY (year before current)</t>
  </si>
  <si>
    <t>(Used for dual columns)</t>
  </si>
  <si>
    <t>Position of Prior FY</t>
  </si>
  <si>
    <t>(1-indexed)</t>
  </si>
  <si>
    <t>Total Columns Used (incl. dual Estimated)</t>
  </si>
  <si>
    <t>(Capped at 12 max)</t>
  </si>
  <si>
    <t>ANCHOR INDICES</t>
  </si>
  <si>
    <t>Latest Audited (Audited/Provisional) col</t>
  </si>
  <si>
    <t>Latest Estimated (dual, before Audited)</t>
  </si>
  <si>
    <t>Prior Audited (year before dual)</t>
  </si>
  <si>
    <t>Current FY Estimated</t>
  </si>
  <si>
    <t>Last Projected (terminal)</t>
  </si>
  <si>
    <t>YEAR-LABEL HELPER TABLE  (referenced by Row 4 of all data sheets)</t>
  </si>
  <si>
    <t>Col Idx</t>
  </si>
  <si>
    <t>Year Label</t>
  </si>
  <si>
    <t>Financial Type</t>
  </si>
  <si>
    <t>6. INDUSTRY OUTLOOK SNAPSHOT  (auto-pulled — read-only)</t>
  </si>
  <si>
    <t>Outlook (Stable / Positive / Negative / Cautious)</t>
  </si>
  <si>
    <t>Prior Performance (FY25)</t>
  </si>
  <si>
    <t>Forecast FY26</t>
  </si>
  <si>
    <t>Forecast FY27</t>
  </si>
  <si>
    <t>Key Drivers</t>
  </si>
  <si>
    <t>Key Risks</t>
  </si>
  <si>
    <t>Source</t>
  </si>
  <si>
    <t>Industry Data Last Refreshed:</t>
  </si>
  <si>
    <t>April 2026 — CRISIL Sep 2025 + Apr 2026, ICRA Jan-Apr 2026, IBEF, Govt sources. Manually refresh hidden Industry_Outlook sheet to update.</t>
  </si>
  <si>
    <t>LEGEND</t>
  </si>
  <si>
    <t xml:space="preserve">  Hardcoded input (paste your data here)</t>
  </si>
  <si>
    <t xml:space="preserve">  Formula / computed (do not edit)</t>
  </si>
  <si>
    <t xml:space="preserve">  Red flag triggered — needs critical analysis</t>
  </si>
  <si>
    <t xml:space="preserve">  Healthy / within acceptable range</t>
  </si>
  <si>
    <t xml:space="preserve">  Caution — marginal / requires review</t>
  </si>
  <si>
    <t>7. PROJECT FINANCE OVERLAY  (per RBI Project Finance Directions, 2025)</t>
  </si>
  <si>
    <t>Is this a Project Finance facility?</t>
  </si>
  <si>
    <t>No</t>
  </si>
  <si>
    <t>(Yes / No — auto-applies elevated provisioning logic)</t>
  </si>
  <si>
    <t>Project Phase</t>
  </si>
  <si>
    <t>Operational</t>
  </si>
  <si>
    <t>(Under-Construction / Operational / Pre-DCCO)</t>
  </si>
  <si>
    <t>Project Sector</t>
  </si>
  <si>
    <t>—</t>
  </si>
  <si>
    <t>(Infrastructure / Commercial Real Estate / Other / —)</t>
  </si>
  <si>
    <t>Date of Commencement of Commercial Ops (DCCO)</t>
  </si>
  <si>
    <t>(FY year-start, e.g., 2027 — used to suppress DSCR alerts during construction)</t>
  </si>
  <si>
    <t>8. DATA SOURCE TOGGLE  (Manual / Account Aggregator API mode)</t>
  </si>
  <si>
    <t>Data Source Mode</t>
  </si>
  <si>
    <t>Manual Entry</t>
  </si>
  <si>
    <t>(Manual Entry / Account Aggregator API)</t>
  </si>
  <si>
    <t>API Gross Income — Latest Aud Yr (₹ Cr)</t>
  </si>
  <si>
    <t>(0 if API not connected. Fed by SAANS/AA. Reconciles vs Net Sales)</t>
  </si>
  <si>
    <t>Reconciliation Variance (vs Op Stmt Net Sales)</t>
  </si>
  <si>
    <t>(Auto. &gt;10% variance triggers EWS alert)</t>
  </si>
  <si>
    <t>HOW TO USE THIS TOOL  |  v2.0</t>
  </si>
  <si>
    <t>STEP 1 — SETUP</t>
  </si>
  <si>
    <t>Open 0_Setup. Enter Borrower Name, Customer ID, Industry (dropdown), Internal &amp; External rating. Set First/Last/Current fiscal years. Set Proposal Type. Enter Existing limits; for enhancements/greenfield/renewal-with-reduction also enter Proposed limits. Override threshold defaults if your internal policy differs.</t>
  </si>
  <si>
    <t>STEP 2 — YEAR ARCHITECTURE</t>
  </si>
  <si>
    <t>All data sheets auto-build year columns based on Setup Section 2. Year labels (row 4) and financial-type tags (row 5) update automatically. The dual 'Estimated/Audited-Provisional' columns appear immediately around the prior FY for direct comparison.</t>
  </si>
  <si>
    <t>STEP 3 — PASTE DATA</t>
  </si>
  <si>
    <t>Open SBI LLMS exports. Paste-Special → Values into each blue input cell across these sheets:</t>
  </si>
  <si>
    <t xml:space="preserve">        Sheet 2</t>
  </si>
  <si>
    <t>Operating Statement</t>
  </si>
  <si>
    <t xml:space="preserve">        Sheet 3</t>
  </si>
  <si>
    <t>Balance Sheet</t>
  </si>
  <si>
    <t xml:space="preserve">        Sheet 4</t>
  </si>
  <si>
    <t>DSCR Calculation</t>
  </si>
  <si>
    <t xml:space="preserve">        Sheet 5</t>
  </si>
  <si>
    <t>Holding Levels</t>
  </si>
  <si>
    <t xml:space="preserve">        Sheet 6</t>
  </si>
  <si>
    <t>Working Capital Assessment (MPBF II)</t>
  </si>
  <si>
    <t xml:space="preserve">        Sheet 7</t>
  </si>
  <si>
    <t>Funds Flow Statement</t>
  </si>
  <si>
    <t>STEP 4 — REVIEW ANALYTICS</t>
  </si>
  <si>
    <t>Sheets 8 (Performance Indicators) and 9 (Cross Checks) auto-populate. Red highlighting flags breaches; green = healthy; amber = caution. Δ column shows YoY (Latest Audited vs Prior Audited) movement.</t>
  </si>
  <si>
    <t>STEP 5 — CREDIT LIMITS &amp; SECURITY</t>
  </si>
  <si>
    <t>Sheet 10: facility-wise limits (existing + proposed conditional on proposal type). Sheet 11: Primary &amp; Collateral. Coverage % auto-computes.</t>
  </si>
  <si>
    <t>STEP 6 — RED FLAGS</t>
  </si>
  <si>
    <t>Sheet 12 — 30+ automated red-flag tests. Each breach is annotated with the underlying ratio/value AND the source columns/rows that drove the conclusion (full traceability).</t>
  </si>
  <si>
    <t>STEP 7 — AUTO-ANALYSIS</t>
  </si>
  <si>
    <t>Sheet 13 generates tightened commentary: For-the-proposal, Against-the-proposal, and Mitigants for each thematic area (sales, profitability, leverage, working capital, capex, DSCR, industry context).</t>
  </si>
  <si>
    <t>STEP 8 — JUSTIFICATION</t>
  </si>
  <si>
    <t>Sheet 14 produces a polished, conversational, formal justification ready to paste into the CAM. Adjusts based on proposal type and existing/proposed limits.</t>
  </si>
  <si>
    <t>KEY MECHANICS</t>
  </si>
  <si>
    <t>Year Sequencing</t>
  </si>
  <si>
    <t>Cols C-N support up to 12 fiscal years. The dual Estimated+Audited columns sit just before the current FY for direct comparison of estimated vs realised.</t>
  </si>
  <si>
    <t>Trend Analysis</t>
  </si>
  <si>
    <t>All Δ columns and red-flag tests use 'Latest Audited' (the Audited/Provisional col) vs 'Prior Audited' (col 2 before that, skipping the dual Estimated). This captures real Y-o-Y, ignoring estimates.</t>
  </si>
  <si>
    <t>Industry Outlook</t>
  </si>
  <si>
    <t>Section 6 of Setup auto-pulls latest available industry data (CRISIL/ICRA/IBEF) for the selected sector. Refresh manually by editing the hidden Industry_Outlook sheet.</t>
  </si>
  <si>
    <t>Negative Numbers</t>
  </si>
  <si>
    <t>Display in (parentheses); zeros display as '-'. All ratios use IFERROR to avoid #DIV/0.</t>
  </si>
  <si>
    <t>WHEN TO RECALCULATE</t>
  </si>
  <si>
    <t>If formulas show 0s or stale numbers after pasting, press F9 (Excel) or Ctrl+Shift+F9 to force recalc. LibreOffice users: Tools → Cell Contents → Recalculate Hard.</t>
  </si>
  <si>
    <t>Paste values from SBI LLMS Operating Statement → blue cells. Subtotals/totals auto-compute.</t>
  </si>
  <si>
    <t>Sr</t>
  </si>
  <si>
    <t>Particulars</t>
  </si>
  <si>
    <t>Yr 1</t>
  </si>
  <si>
    <t>Yr 2</t>
  </si>
  <si>
    <t>Yr 3</t>
  </si>
  <si>
    <t>Yr 4</t>
  </si>
  <si>
    <t>Yr 5</t>
  </si>
  <si>
    <t>Yr 6</t>
  </si>
  <si>
    <t>Yr 7</t>
  </si>
  <si>
    <t>Yr 8</t>
  </si>
  <si>
    <t>Yr 9</t>
  </si>
  <si>
    <t>Yr 10</t>
  </si>
  <si>
    <t>Yr 11</t>
  </si>
  <si>
    <t>Yr 12</t>
  </si>
  <si>
    <t>Δ Latest vs Prior Aud</t>
  </si>
  <si>
    <t>Auto-Comment</t>
  </si>
  <si>
    <t>Year →</t>
  </si>
  <si>
    <t>Type →</t>
  </si>
  <si>
    <t>A. SALES</t>
  </si>
  <si>
    <t>Domestic Sales</t>
  </si>
  <si>
    <t>Export Sales</t>
  </si>
  <si>
    <t>Other Operating / Revenue Income</t>
  </si>
  <si>
    <t>Total Gross Sales</t>
  </si>
  <si>
    <t>Deduct: Excise Duty / Service Tax</t>
  </si>
  <si>
    <t>Deduct: Other Items</t>
  </si>
  <si>
    <t>Net Sales</t>
  </si>
  <si>
    <t>B. COST OF SALES</t>
  </si>
  <si>
    <t>Raw Material - Imported</t>
  </si>
  <si>
    <t>Raw Material - Indigenous</t>
  </si>
  <si>
    <t>Total Raw Material</t>
  </si>
  <si>
    <t>Spares - Imported</t>
  </si>
  <si>
    <t>Spares - Indigenous</t>
  </si>
  <si>
    <t>Total Spares</t>
  </si>
  <si>
    <t>Power &amp; Fuel</t>
  </si>
  <si>
    <t>Direct Labour</t>
  </si>
  <si>
    <t>Other Manufacturing / Direct Costs</t>
  </si>
  <si>
    <t>Depreciation &amp; Amortisation</t>
  </si>
  <si>
    <t>Add: Opening Stock-in-Process</t>
  </si>
  <si>
    <t>Less: Closing Stock-in-Process</t>
  </si>
  <si>
    <t>Cost of Production</t>
  </si>
  <si>
    <t>Add: Opening Stock of FG</t>
  </si>
  <si>
    <t>Less: Closing Stock of FG</t>
  </si>
  <si>
    <t>Cost of Sales</t>
  </si>
  <si>
    <t>C. OPERATING PROFIT</t>
  </si>
  <si>
    <t>Selling &amp; General Admin Expenses</t>
  </si>
  <si>
    <t>Operating Profit Before Interest (OPBI)</t>
  </si>
  <si>
    <t>Interest on Working Capital</t>
  </si>
  <si>
    <t>Interest on Term Loans</t>
  </si>
  <si>
    <t>Other Finance Charges</t>
  </si>
  <si>
    <t>Total Interest Outgo</t>
  </si>
  <si>
    <t>Operating Profit After Interest (OPAI)</t>
  </si>
  <si>
    <t>D. OTHER NON-OPERATING</t>
  </si>
  <si>
    <t>Interest on Unsecured / Related-party Loans</t>
  </si>
  <si>
    <t>Income from Investments &amp; Deposits</t>
  </si>
  <si>
    <t>Forex Gain</t>
  </si>
  <si>
    <t>Profit on Sale of Fixed Assets</t>
  </si>
  <si>
    <t>Profit on Sale of Investments</t>
  </si>
  <si>
    <t>Total Other Non-Op Income</t>
  </si>
  <si>
    <t>Goodwill / Intangibles Written off</t>
  </si>
  <si>
    <t>Preliminary Expenses Written off</t>
  </si>
  <si>
    <t>Other Misc Expenses Written off</t>
  </si>
  <si>
    <t>Forex Loss</t>
  </si>
  <si>
    <t>Loss on Sale of Fixed Assets</t>
  </si>
  <si>
    <t>Total Other Non-Op Expenses</t>
  </si>
  <si>
    <t>Net Non-Operating Income</t>
  </si>
  <si>
    <t>E. PROFIT</t>
  </si>
  <si>
    <t>Profit Before Tax (PBT)</t>
  </si>
  <si>
    <t>MAT Credit</t>
  </si>
  <si>
    <t>Provision for Taxes</t>
  </si>
  <si>
    <t>Prior Period Expenses</t>
  </si>
  <si>
    <t>Net Profit / Loss (PAT)</t>
  </si>
  <si>
    <t>Equity Dividend Paid (incl. DDT)</t>
  </si>
  <si>
    <t>Retained Profit</t>
  </si>
  <si>
    <t>Liabilities first, then Assets. CHECK row at bottom must = 0.</t>
  </si>
  <si>
    <t>CURRENT LIABILITIES — Short Term Borrowings from Banks</t>
  </si>
  <si>
    <t>From Applicant Bank</t>
  </si>
  <si>
    <t>From Other Banks</t>
  </si>
  <si>
    <t>Under Buyers Credit</t>
  </si>
  <si>
    <t>(of which Bills Purchased &amp; Discounted)</t>
  </si>
  <si>
    <t>Total Short Term Borrowings from Banks</t>
  </si>
  <si>
    <t>CURRENT LIABILITIES — Others</t>
  </si>
  <si>
    <t>Short Term Borrowings from Others</t>
  </si>
  <si>
    <t>Sundry Creditors (Trade — Without LC)</t>
  </si>
  <si>
    <t>Sundry Creditors (Trade — Under LC)</t>
  </si>
  <si>
    <t>Advance from Customers &amp; Dealer Deposits</t>
  </si>
  <si>
    <t>Provision for Taxation</t>
  </si>
  <si>
    <t>Dividend Payable (incl. Tax)</t>
  </si>
  <si>
    <t>Other Statutory Liab. (within 1 yr)</t>
  </si>
  <si>
    <t>TL Instalments (within 1 yr)</t>
  </si>
  <si>
    <t>Other CL &amp; Provisions (within 1 yr)</t>
  </si>
  <si>
    <t>Provision for Expenditure</t>
  </si>
  <si>
    <t>Sundry Creditors for Capital Goods</t>
  </si>
  <si>
    <t>Sundry Creditors for Expenses</t>
  </si>
  <si>
    <t>Others (Current Liab.)</t>
  </si>
  <si>
    <t>Total Other Current Liabilities</t>
  </si>
  <si>
    <t>Total Current Liabilities (TCL)</t>
  </si>
  <si>
    <t>TERM LIABILITIES</t>
  </si>
  <si>
    <t>Debentures (&gt;1 yr)</t>
  </si>
  <si>
    <t>Preference Shares (1-12 yrs)</t>
  </si>
  <si>
    <t>Secured Term Loans (excl. &lt;1yr instalments)</t>
  </si>
  <si>
    <t>Deferred Payment Credits (excl. &lt;1yr instalments)</t>
  </si>
  <si>
    <t>Term/Public Deposits (&gt;1 yr)</t>
  </si>
  <si>
    <t>Unsecured Loans from Promoters / Group Cos</t>
  </si>
  <si>
    <t>Unsecured Loans — Others</t>
  </si>
  <si>
    <t>Capex Creditors (&gt;1 yr)</t>
  </si>
  <si>
    <t>Non-Current Provisions</t>
  </si>
  <si>
    <t>Deferred Tax Liabilities</t>
  </si>
  <si>
    <t>Total Term Liabilities (TTL)</t>
  </si>
  <si>
    <t>Total Outside Liabilities (TOL)</t>
  </si>
  <si>
    <t>Memo: Corporate Guarantees in favour of Group Cos</t>
  </si>
  <si>
    <t>NET WORTH</t>
  </si>
  <si>
    <t>Equity Share Capital</t>
  </si>
  <si>
    <t>Preference Share Capital</t>
  </si>
  <si>
    <t>General Reserve</t>
  </si>
  <si>
    <t>Revaluation Reserve</t>
  </si>
  <si>
    <t>Surplus / Deficit in P&amp;L A/c</t>
  </si>
  <si>
    <t>Other Reserves (excl. Provisions)</t>
  </si>
  <si>
    <t>Security Premium</t>
  </si>
  <si>
    <t>Warrants / Options / ESOPs</t>
  </si>
  <si>
    <t>Share Application Money</t>
  </si>
  <si>
    <t>Total Net Worth (TNW)</t>
  </si>
  <si>
    <t>TOTAL LIABILITIES</t>
  </si>
  <si>
    <t>CURRENT ASSETS</t>
  </si>
  <si>
    <t>Cash &amp; Cash Equivalents</t>
  </si>
  <si>
    <t>Investments in Govt &amp; Trustee Securities</t>
  </si>
  <si>
    <t>Fixed Deposits with Banks</t>
  </si>
  <si>
    <t>Total Investments (other than LT)</t>
  </si>
  <si>
    <t>Receivables (excl. deferred / exports / BP&amp;BD)</t>
  </si>
  <si>
    <t>Export Receivables</t>
  </si>
  <si>
    <t>Bills Purchased &amp; Discounted</t>
  </si>
  <si>
    <t>Instalments &amp; Deferred Receivables (within 1 yr)</t>
  </si>
  <si>
    <t>Total Other Receivables</t>
  </si>
  <si>
    <t>INVENTORY</t>
  </si>
  <si>
    <t>Raw Material — Imported</t>
  </si>
  <si>
    <t>Raw Material — Indigenous</t>
  </si>
  <si>
    <t>Stock-in-Process</t>
  </si>
  <si>
    <t>Finished Goods</t>
  </si>
  <si>
    <t>Other Consumable Spares — Imported</t>
  </si>
  <si>
    <t>Other Consumable Spares — Indigenous</t>
  </si>
  <si>
    <t>Total Other Consumable Spares</t>
  </si>
  <si>
    <t>Total Inventory</t>
  </si>
  <si>
    <t>Advances to Suppliers of RM</t>
  </si>
  <si>
    <t>Advance Payment of Taxes</t>
  </si>
  <si>
    <t>OTHER CURRENT ASSETS</t>
  </si>
  <si>
    <t>TUFS</t>
  </si>
  <si>
    <t>Excise / Customs Duty Receivables</t>
  </si>
  <si>
    <t>CENVAT Credit / GST Input</t>
  </si>
  <si>
    <t>Others (OCA)</t>
  </si>
  <si>
    <t>Total Other Current Assets</t>
  </si>
  <si>
    <t>Total Current Assets (TCA)</t>
  </si>
  <si>
    <t>FIXED ASSETS</t>
  </si>
  <si>
    <t>Gross Block</t>
  </si>
  <si>
    <t>Capital Work in Progress</t>
  </si>
  <si>
    <t>Depreciation (till date)</t>
  </si>
  <si>
    <t>Net Block</t>
  </si>
  <si>
    <t>NON-CURRENT ASSETS</t>
  </si>
  <si>
    <t>Investments in Group Companies</t>
  </si>
  <si>
    <t>Other Investments</t>
  </si>
  <si>
    <t>Total Investments (LT)</t>
  </si>
  <si>
    <t>Advances to Suppliers of Capital Goods</t>
  </si>
  <si>
    <t>Deferred Receivables (&gt;1 yr)</t>
  </si>
  <si>
    <t>Deposits</t>
  </si>
  <si>
    <t>Loans &amp; Advances to Group Entities</t>
  </si>
  <si>
    <t>Receivables (over 6 months)</t>
  </si>
  <si>
    <t>A/R from Group Entities</t>
  </si>
  <si>
    <t>Receivables from Directors / Employees</t>
  </si>
  <si>
    <t>Others (NCA)</t>
  </si>
  <si>
    <t>Total Non-Current Assets — Others</t>
  </si>
  <si>
    <t>Non-Consumable Stores &amp; Spares</t>
  </si>
  <si>
    <t>Total Non-Current Assets</t>
  </si>
  <si>
    <t>INTANGIBLE ASSETS</t>
  </si>
  <si>
    <t>Gross Intangible Assets</t>
  </si>
  <si>
    <t>Amortisation (till date)</t>
  </si>
  <si>
    <t>Net Intangible Assets</t>
  </si>
  <si>
    <t>Deferred Tax Assets (DTA)</t>
  </si>
  <si>
    <t>TOTAL ASSETS</t>
  </si>
  <si>
    <t>CHECK: Total Liab − Total Assets (must = 0)</t>
  </si>
  <si>
    <t>Cash Accruals + Interest pulled from Operating Statement automatically.</t>
  </si>
  <si>
    <t>A. CASH ACCRUALS</t>
  </si>
  <si>
    <t>PAT + Depreciation (Cash Accruals)</t>
  </si>
  <si>
    <t>Less: Cash Accruals utilised in projects by Borrower</t>
  </si>
  <si>
    <t>Net Cash Accruals available for Debt Service</t>
  </si>
  <si>
    <t>B. DEBT SERVICE OBLIGATIONS</t>
  </si>
  <si>
    <t>TL Instalments — Applicant Bank</t>
  </si>
  <si>
    <t>TL Instalments — Other Banks</t>
  </si>
  <si>
    <t>Total TL Instalments (All Banks)</t>
  </si>
  <si>
    <t>Interest on Term Loans (from Op Stmt)</t>
  </si>
  <si>
    <t>Total Debt Service</t>
  </si>
  <si>
    <t>C. DSCR RATIOS</t>
  </si>
  <si>
    <t>Gross DSCR  =  (NCA + Int TL) / (Inst + Int TL)</t>
  </si>
  <si>
    <t>Net DSCR  =  NCA / Instalments</t>
  </si>
  <si>
    <t>Average Gross DSCR (over years with TL instalments)</t>
  </si>
  <si>
    <t>PROJECT FINANCE OVERLAY  (DSCR threshold suppression for construction phase)</t>
  </si>
  <si>
    <t>Inventory &amp; receivables/payables in months. Auto-pulled where possible.</t>
  </si>
  <si>
    <t>INVENTORY HOLDING — RAW MATERIAL</t>
  </si>
  <si>
    <t>RM Imported (linked from BS)</t>
  </si>
  <si>
    <t>Months' RM Imported consumption</t>
  </si>
  <si>
    <t>RM Indigenous (linked from BS)</t>
  </si>
  <si>
    <t>Months' RM Indigenous consumption</t>
  </si>
  <si>
    <t>INVENTORY HOLDING — SPARES</t>
  </si>
  <si>
    <t>Spares Imported (override)</t>
  </si>
  <si>
    <t>Months' Spares Imported</t>
  </si>
  <si>
    <t>Spares Indigenous (override)</t>
  </si>
  <si>
    <t>Months' Spares Indigenous</t>
  </si>
  <si>
    <t>INVENTORY HOLDING — WIP &amp; FG</t>
  </si>
  <si>
    <t>Stock-in-Process (linked)</t>
  </si>
  <si>
    <t>Months' SIP / Cost of Production</t>
  </si>
  <si>
    <t>Finished Goods (linked)</t>
  </si>
  <si>
    <t>Months' FG / Cost of Sales</t>
  </si>
  <si>
    <t>RECEIVABLES</t>
  </si>
  <si>
    <t>Domestic Receivables (linked)</t>
  </si>
  <si>
    <t>Months' Domestic Sales (excl. exports)</t>
  </si>
  <si>
    <t>Export Receivables (linked)</t>
  </si>
  <si>
    <t>Months' Export Sales</t>
  </si>
  <si>
    <t>Cash &amp; Bank Balances</t>
  </si>
  <si>
    <t>Govt &amp; Other Trustee Securities</t>
  </si>
  <si>
    <t>Total Current Assets (linked from BS)</t>
  </si>
  <si>
    <t>CURRENT LIABILITIES</t>
  </si>
  <si>
    <t>Sundry Creditors (Trade — linked)</t>
  </si>
  <si>
    <t>Months' Purchases (Sundry Creditors)</t>
  </si>
  <si>
    <t>TL Instalments (within 1 yr — linked)</t>
  </si>
  <si>
    <t>Tandon II method. NWC must be ≥25% of TCA. ABF = WCG − NWC.</t>
  </si>
  <si>
    <t>MPBF CALCULATION</t>
  </si>
  <si>
    <t>Total CL (other than Bank Borrowings)</t>
  </si>
  <si>
    <t>Other CL (excluding Sundry Creditors)</t>
  </si>
  <si>
    <t>Working Capital Gap (TCA − Other CL)</t>
  </si>
  <si>
    <t>Net Working Capital (NWC)</t>
  </si>
  <si>
    <t>Assessed Bank Finance (ABF) = WCG − NWC</t>
  </si>
  <si>
    <t>WC RATIOS</t>
  </si>
  <si>
    <t>NWC / TCA (%)</t>
  </si>
  <si>
    <t>ABF / TCA (%)</t>
  </si>
  <si>
    <t>Sundry Creditors (linked)</t>
  </si>
  <si>
    <t>Sundry Creditors to TCA (%)</t>
  </si>
  <si>
    <t>Other CL to TCA (%)</t>
  </si>
  <si>
    <t>HOLDING LEVELS (Days)</t>
  </si>
  <si>
    <t>Inventory to Net Sales (days)</t>
  </si>
  <si>
    <t>Receivables to Gross Sales (days)</t>
  </si>
  <si>
    <t>Sundry Creditors to Purchases (days)</t>
  </si>
  <si>
    <t>WC ANALYSIS — RED FLAGS</t>
  </si>
  <si>
    <t>NWC Y-o-Y Movement (Latest Aud vs Prior Aud)</t>
  </si>
  <si>
    <t>Sources &amp; Uses. Net Surplus/Deficit = change in Bank Borrowings.</t>
  </si>
  <si>
    <t>SOURCES</t>
  </si>
  <si>
    <t>Cash Accruals (PAT + Dep)</t>
  </si>
  <si>
    <t>Increase in Capital</t>
  </si>
  <si>
    <t>Increase in Term Liabilities</t>
  </si>
  <si>
    <t>Decrease in Fixed Assets</t>
  </si>
  <si>
    <t>Decrease in Other Non-Current Assets</t>
  </si>
  <si>
    <t>Other Sources</t>
  </si>
  <si>
    <t>Total Sources</t>
  </si>
  <si>
    <t>USES</t>
  </si>
  <si>
    <t>Cash Accruals (if negative)</t>
  </si>
  <si>
    <t>Decrease in Term Liabilities</t>
  </si>
  <si>
    <t>Increase in Fixed Assets</t>
  </si>
  <si>
    <t>Increase in Other Non-Current Assets</t>
  </si>
  <si>
    <t>Dividend Payments</t>
  </si>
  <si>
    <t>Other Uses</t>
  </si>
  <si>
    <t>Total Uses</t>
  </si>
  <si>
    <t>Long Term Surplus / (Deficit)</t>
  </si>
  <si>
    <t>WORKING CAPITAL CYCLE</t>
  </si>
  <si>
    <t>Increase / (Decrease) in Current Assets</t>
  </si>
  <si>
    <t>Increase / (Decrease) in Current Liabilities</t>
  </si>
  <si>
    <t>Increase / (Decrease) in WCG</t>
  </si>
  <si>
    <t>Net Surplus / (Deficit)</t>
  </si>
  <si>
    <t>Increase / (Decrease) in Bank Borrowings</t>
  </si>
  <si>
    <t>RED FLAG — CAPEX / LTF MATCHING</t>
  </si>
  <si>
    <t>FA addition / LT-Funds Available  (&gt;1 = funded by WC, dangerous)</t>
  </si>
  <si>
    <t>All ratios auto-computed from input sheets. Conditional formatting flags breaches in real time.</t>
  </si>
  <si>
    <t>PROFITABILITY</t>
  </si>
  <si>
    <t>Sales Growth Y-o-Y (Latest Aud vs Prior Aud)</t>
  </si>
  <si>
    <t>&gt;= -5%</t>
  </si>
  <si>
    <t>Operating Profit Margin (OPBI / Net Sales)</t>
  </si>
  <si>
    <t>&gt;= 5%</t>
  </si>
  <si>
    <t>PAT Margin (PAT / Net Sales)</t>
  </si>
  <si>
    <t>&gt;= 2%</t>
  </si>
  <si>
    <t>Cash Profit (PAT + Dep)</t>
  </si>
  <si>
    <t>Cash Profit Margin</t>
  </si>
  <si>
    <t>LIQUIDITY</t>
  </si>
  <si>
    <t>Current Ratio (TCA / TCL)</t>
  </si>
  <si>
    <t>&gt;= MinCR</t>
  </si>
  <si>
    <t>Quick Ratio ((TCA − Inventory) / TCL)</t>
  </si>
  <si>
    <t>&gt;= 1.0</t>
  </si>
  <si>
    <t>Net Working Capital (₹ Cr)</t>
  </si>
  <si>
    <t>SOLVENCY &amp; LEVERAGE</t>
  </si>
  <si>
    <t>&lt;= MaxTOLTNW</t>
  </si>
  <si>
    <t>TTL / TNW (Long-term Debt / Equity)</t>
  </si>
  <si>
    <t>&lt;= 2.5x</t>
  </si>
  <si>
    <t>Debt / EBITDA</t>
  </si>
  <si>
    <t>&lt;= MaxLeverage</t>
  </si>
  <si>
    <t>COVERAGE</t>
  </si>
  <si>
    <t>Interest Coverage Ratio (EBIT / Interest)</t>
  </si>
  <si>
    <t>&gt;= MinICR</t>
  </si>
  <si>
    <t>DSCR (Gross — from DSCR sheet)</t>
  </si>
  <si>
    <t>&gt;= MinDSCR_Any</t>
  </si>
  <si>
    <t>Average Gross DSCR (from DSCR sheet)</t>
  </si>
  <si>
    <t>&gt;= MinDSCR_Avg</t>
  </si>
  <si>
    <t>EFFICIENCY / OPERATING CYCLE</t>
  </si>
  <si>
    <t>Inventory Days (Inv / Net Sales × 365)</t>
  </si>
  <si>
    <t>Watch trend</t>
  </si>
  <si>
    <t>DSO (Days Sales Outstanding)</t>
  </si>
  <si>
    <t>DPO (Days Payable Outstanding)</t>
  </si>
  <si>
    <t>Cash Conversion Cycle (days)</t>
  </si>
  <si>
    <t>RETURNS</t>
  </si>
  <si>
    <t>RoCE (PBIT / (TNW + TTL))</t>
  </si>
  <si>
    <t>&gt;= 12%</t>
  </si>
  <si>
    <t>RoE (PAT / TNW)</t>
  </si>
  <si>
    <t>&gt;= 10%</t>
  </si>
  <si>
    <t>Internal consistency tests across input sheets. Should all show ✓ at zero.</t>
  </si>
  <si>
    <t>Cross Check</t>
  </si>
  <si>
    <t>Note</t>
  </si>
  <si>
    <t>Balance Sheet Check (Total Liab − Total Assets)</t>
  </si>
  <si>
    <t>Must = 0</t>
  </si>
  <si>
    <t>TCA from BS = Sum of components</t>
  </si>
  <si>
    <t>TCL from BS = STBB + Other CL</t>
  </si>
  <si>
    <t>Net Sales = Gross Sales − Excise/Other</t>
  </si>
  <si>
    <t>PAT correct (PBT − Tax − Prior + MAT)</t>
  </si>
  <si>
    <t>Facility-wise existing limits, proposed limits (where applicable), pricing, and tenor.</t>
  </si>
  <si>
    <t>Facility Type</t>
  </si>
  <si>
    <t>Sub-Facility</t>
  </si>
  <si>
    <t>Tenor / Repayment</t>
  </si>
  <si>
    <t>Interest Rate / Pricing</t>
  </si>
  <si>
    <t>FUND-BASED — WORKING CAPITAL</t>
  </si>
  <si>
    <t>Cash Credit</t>
  </si>
  <si>
    <t>On Demand</t>
  </si>
  <si>
    <t>Working Capital Demand Loan</t>
  </si>
  <si>
    <t>Bills Discounting</t>
  </si>
  <si>
    <t>60-180 days</t>
  </si>
  <si>
    <t>Buyer's Credit (FCNR)</t>
  </si>
  <si>
    <t>6-12 months</t>
  </si>
  <si>
    <t>Sub-Total FB - WC</t>
  </si>
  <si>
    <t>FUND-BASED — TERM LOANS</t>
  </si>
  <si>
    <t>FB - Term Loan</t>
  </si>
  <si>
    <t>Term Loan I</t>
  </si>
  <si>
    <t>Term Loan II</t>
  </si>
  <si>
    <t>Term Loan III</t>
  </si>
  <si>
    <t>Equipment Finance / Vehicle Loan</t>
  </si>
  <si>
    <t>Sub-Total FB - TL</t>
  </si>
  <si>
    <t>NON-FUND BASED LIMITS</t>
  </si>
  <si>
    <t>Non-Fund Based</t>
  </si>
  <si>
    <t>Letter of Credit (Inland)</t>
  </si>
  <si>
    <t>180 days</t>
  </si>
  <si>
    <t>Letter of Credit (Foreign)</t>
  </si>
  <si>
    <t>Bank Guarantee — Performance</t>
  </si>
  <si>
    <t>Up to 5 yrs</t>
  </si>
  <si>
    <t>Bank Guarantee — Financial</t>
  </si>
  <si>
    <t>Up to 1 yr</t>
  </si>
  <si>
    <t>Sub-Total NFB</t>
  </si>
  <si>
    <t>GRAND TOTAL (FB + NFB)</t>
  </si>
  <si>
    <t>Check vs Setup:</t>
  </si>
  <si>
    <t>SYSTEM EXPOSURE &amp; CHAPTER XIA COMPLIANCE  |  RBI Amendment Directions Apr 2026</t>
  </si>
  <si>
    <t>Chapter XIA enforces strict current/OD account discipline. For aggregate banking exposure ≥ ₹10 Cr, applicant bank must hold ≥10% share of total banking exposure to maintain standard Current/OD accounts; otherwise only Collection Accounts (T+2 sweep) are permitted. Source: CRILC / CIBIL Commercial.</t>
  </si>
  <si>
    <t>Chapter XIA Input Field</t>
  </si>
  <si>
    <t>Existing (₹ Cr)</t>
  </si>
  <si>
    <t>Proposed (₹ Cr)</t>
  </si>
  <si>
    <t>Total Limits Sanctioned by Other Banks</t>
  </si>
  <si>
    <t>Source: CRILC / CIBIL Commercial Report</t>
  </si>
  <si>
    <t>Applicant Bank Proposed Limits (FB+NFB)</t>
  </si>
  <si>
    <t>Auto: Grand Total above</t>
  </si>
  <si>
    <t>Aggregate Banking System Exposure</t>
  </si>
  <si>
    <t>Total (this bank + all others)</t>
  </si>
  <si>
    <t>Applicant Bank Share of Total Exposure</t>
  </si>
  <si>
    <t>Bank share of aggregate exposure</t>
  </si>
  <si>
    <t>CHAPTER XIA COMPLIANCE STATUS</t>
  </si>
  <si>
    <t>Existing</t>
  </si>
  <si>
    <t>Proposed</t>
  </si>
  <si>
    <t>Implication</t>
  </si>
  <si>
    <t>Account Operation Permission</t>
  </si>
  <si>
    <t>Primary security on stocks/receivables for WC; FA charge for TL. Collateral coverage % auto-computed.</t>
  </si>
  <si>
    <t>Security Description</t>
  </si>
  <si>
    <t>Type (Primary/Collateral)</t>
  </si>
  <si>
    <t>Value (₹ Cr)</t>
  </si>
  <si>
    <t>Charge Type (1st pari-passu / Exclusive)</t>
  </si>
  <si>
    <t>PRIMARY SECURITY</t>
  </si>
  <si>
    <t>Hypothecation of stocks (RM, WIP, FG)</t>
  </si>
  <si>
    <t>Primary</t>
  </si>
  <si>
    <t>Hypothecation of book debts / receivables</t>
  </si>
  <si>
    <t>Equitable mortgage of factory premises</t>
  </si>
  <si>
    <t>Hypothecation of plant &amp; machinery</t>
  </si>
  <si>
    <t>Other primary security</t>
  </si>
  <si>
    <t>Sub-Total Primary</t>
  </si>
  <si>
    <t>COLLATERAL SECURITY</t>
  </si>
  <si>
    <t>Equitable mortgage — Land/property (3rd party)</t>
  </si>
  <si>
    <t>Collateral</t>
  </si>
  <si>
    <t>Lien on Fixed Deposits</t>
  </si>
  <si>
    <t>Pledge of shares / securities</t>
  </si>
  <si>
    <t>Personal Guarantee — Promoter(s)</t>
  </si>
  <si>
    <t>Corporate Guarantee — Group company</t>
  </si>
  <si>
    <t>Other collateral</t>
  </si>
  <si>
    <t>Sub-Total Collateral</t>
  </si>
  <si>
    <t>COVERAGE ANALYSIS</t>
  </si>
  <si>
    <t>Total Sanctioned Limits (FB Existing + Proposed)</t>
  </si>
  <si>
    <t>Total Security Value (Primary + Collateral)</t>
  </si>
  <si>
    <t>Security Coverage (Total Security / Total Sanctioned FB)</t>
  </si>
  <si>
    <t>Each red flag shows the test, current value, threshold, status, AND a citation of the source rows/columns driving the conclusion.</t>
  </si>
  <si>
    <t>#</t>
  </si>
  <si>
    <t>Red Flag Test</t>
  </si>
  <si>
    <t>Source Reference</t>
  </si>
  <si>
    <t>Current Value</t>
  </si>
  <si>
    <t>Detail / Action Required</t>
  </si>
  <si>
    <t>SECTION I — PROFITABILITY</t>
  </si>
  <si>
    <t>Loss in any latest year (PAT)</t>
  </si>
  <si>
    <t>Op Stmt row 58 (PAT) — Latest Aud col</t>
  </si>
  <si>
    <t>≥ 0</t>
  </si>
  <si>
    <t>OPM declining trend (Latest Aud vs Prior Aud)</t>
  </si>
  <si>
    <t>Op Stmt row 33 (OPBI) ÷ row 13 (Net Sales)</t>
  </si>
  <si>
    <t>Δ ≥ -2pp</t>
  </si>
  <si>
    <t>Sales jump &gt; 50% (verification needed)</t>
  </si>
  <si>
    <t>Op Stmt row 13 (Net Sales) Latest vs Prior Aud</t>
  </si>
  <si>
    <t>≤ 50%</t>
  </si>
  <si>
    <t>Sales decline (Latest Aud vs Prior Aud)</t>
  </si>
  <si>
    <t>Op Stmt row 13</t>
  </si>
  <si>
    <t>SECTION II — LIQUIDITY</t>
  </si>
  <si>
    <t>Current Ratio breach (Latest Aud)</t>
  </si>
  <si>
    <t>BS row 82 (TCA) ÷ row 27 (TCL)</t>
  </si>
  <si>
    <t>Negative or eroded NWC</t>
  </si>
  <si>
    <t>BS row 82 (TCA) − row 27 (TCL)</t>
  </si>
  <si>
    <t>&gt; 0</t>
  </si>
  <si>
    <t>NWC erosion YoY &gt; tolerance</t>
  </si>
  <si>
    <t>BS row 82 − row 27 (Latest vs Prior Aud)</t>
  </si>
  <si>
    <t>≥ MaxNWCErosion</t>
  </si>
  <si>
    <t>SECTION III — LEVERAGE</t>
  </si>
  <si>
    <t>TOL/TNW exceeds threshold</t>
  </si>
  <si>
    <t>BS row 40 (TOL) ÷ row 52 (TNW)</t>
  </si>
  <si>
    <t>Negative or zero TNW</t>
  </si>
  <si>
    <t>BS row 52 (TNW) Latest Aud</t>
  </si>
  <si>
    <t>Debt/EBITDA breach</t>
  </si>
  <si>
    <t>BS row 39 (TTL) ÷ (Op Stmt row 33 + row 24)</t>
  </si>
  <si>
    <t>≤ MaxLeverage</t>
  </si>
  <si>
    <t>SECTION IV — COVERAGE</t>
  </si>
  <si>
    <t>ICR below threshold (Latest Aud)</t>
  </si>
  <si>
    <t>Op Stmt row 33 (OPBI) ÷ row 37 (Total Interest)</t>
  </si>
  <si>
    <t>DSCR breach in any year</t>
  </si>
  <si>
    <t>DSCR sheet row 17 across all years</t>
  </si>
  <si>
    <t>Average DSCR below threshold</t>
  </si>
  <si>
    <t>DSCR sheet row 19</t>
  </si>
  <si>
    <t>≥ MinDSCR_Avg</t>
  </si>
  <si>
    <t>SECTION V — WORKING CAPITAL &amp; EFFICIENCY</t>
  </si>
  <si>
    <t>Inventory days stretching</t>
  </si>
  <si>
    <t>BS row 73 ÷ Op Stmt row 13 × 365 (Latest vs Prior Aud)</t>
  </si>
  <si>
    <t>Δ ≤ 20% rise</t>
  </si>
  <si>
    <t>DSO stretching</t>
  </si>
  <si>
    <t>BS rows 59+60 ÷ Op Stmt row 10 × 365</t>
  </si>
  <si>
    <t>Δ ≤ MaxDSOIncrease</t>
  </si>
  <si>
    <t>DPO stretching (creditor squeeze)</t>
  </si>
  <si>
    <t>BS rows 14+15 ÷ Purchases × 365</t>
  </si>
  <si>
    <t>Δ ≤ MaxDPOStretch</t>
  </si>
  <si>
    <t>STBB &gt; 70% of TCL (over-reliance on bank borrowing)</t>
  </si>
  <si>
    <t>BS row 11 (STBB) ÷ row 27 (TCL)</t>
  </si>
  <si>
    <t>≤ 70%</t>
  </si>
  <si>
    <t>SECTION VI — CAPEX &amp; FUNDS FLOW DIVERSION</t>
  </si>
  <si>
    <t>Capex funded from working capital (CRITICAL)</t>
  </si>
  <si>
    <t>BS row 84 (Gross Block) Δ vs (TNW Δ + TTL Δ)</t>
  </si>
  <si>
    <t>≤ 1.0x</t>
  </si>
  <si>
    <t>Capital withdrawal (TNW reduction without losses)</t>
  </si>
  <si>
    <t>BS row 52 (TNW) Δ vs Op Stmt row 60 (Retained Profit)</t>
  </si>
  <si>
    <t>≥ -1.0</t>
  </si>
  <si>
    <t>Surge in unsecured loans (related-party diversion?)</t>
  </si>
  <si>
    <t>BS rows 34+35 (Unsecured Loans) Δ</t>
  </si>
  <si>
    <t>Δ ≤ 100%</t>
  </si>
  <si>
    <t>SECTION VII — CONTINGENT &amp; OFF-BS EXPOSURES</t>
  </si>
  <si>
    <t>Corporate Guarantees &gt; 50% of TNW</t>
  </si>
  <si>
    <t>BS row 41 ÷ row 52</t>
  </si>
  <si>
    <t>Investments in Group Cos &gt; 25% of TNW</t>
  </si>
  <si>
    <t>BS row 89 ÷ row 52</t>
  </si>
  <si>
    <t>≤ 25%</t>
  </si>
  <si>
    <t>Loans/Advances to group/directors &gt; 10% of TNW</t>
  </si>
  <si>
    <t>BS rows 95+97+98 ÷ row 52</t>
  </si>
  <si>
    <t>≤ 10%</t>
  </si>
  <si>
    <t>SECTION VIII — TANDON-II NORMS</t>
  </si>
  <si>
    <t>ABF &gt; 75% of TCA (over-banked)</t>
  </si>
  <si>
    <t>WC sheet row 12 ÷ row 7</t>
  </si>
  <si>
    <t>≤ 75%</t>
  </si>
  <si>
    <t>NWC &lt; 25% of TCA (Tandon norm breach)</t>
  </si>
  <si>
    <t>WC sheet row 11 ÷ row 7</t>
  </si>
  <si>
    <t>≥ 25%</t>
  </si>
  <si>
    <t>SECTION IX — DIRECTIONAL TESTS</t>
  </si>
  <si>
    <t>Receivables &gt; 6 months age (BS row 96)</t>
  </si>
  <si>
    <t>BS row 96 ÷ row 82 (TCA)</t>
  </si>
  <si>
    <t>≤ 5%</t>
  </si>
  <si>
    <t>Provision for taxation negative or zero in profitable year</t>
  </si>
  <si>
    <t>BS row 17 (Provision) vs Op Stmt row 54 (PBT)</t>
  </si>
  <si>
    <t>Should be &gt; 0 if PBT &gt; 0</t>
  </si>
  <si>
    <t>Cash &amp; equivalents very low (&lt; 1% of net sales)</t>
  </si>
  <si>
    <t>BS rows 55+57 ÷ Op Stmt row 13</t>
  </si>
  <si>
    <t>≥ 1%</t>
  </si>
  <si>
    <t>SECTION X — ASSET QUALITY &amp; TL COVERAGE</t>
  </si>
  <si>
    <t>Net Block / Gross Block &lt; 30% (asset over-aged)</t>
  </si>
  <si>
    <t>BS row 87 (Net Block) ÷ row 84 (Gross Block)</t>
  </si>
  <si>
    <t>≥ 30%</t>
  </si>
  <si>
    <t>FACR (Asset coverage) for Term Loans</t>
  </si>
  <si>
    <t>BS row 87 ÷ row 39 (TTL)</t>
  </si>
  <si>
    <t>≥ MinFACR</t>
  </si>
  <si>
    <t>SECTION XI — REGULATORY OVERLAYS</t>
  </si>
  <si>
    <t>Project Finance Capital &amp; Provisioning Strain</t>
  </si>
  <si>
    <t>Setup Section 7 (PF Type, Phase, Sector)</t>
  </si>
  <si>
    <t>0.40% (standard)</t>
  </si>
  <si>
    <t>DSCR Suppression — Project Finance Construction Phase</t>
  </si>
  <si>
    <t>DCCO_Year vs Year Index (suppress alerts pre-DCCO)</t>
  </si>
  <si>
    <t>Active post-DCCO only</t>
  </si>
  <si>
    <t>OVERALL RED FLAG SUMMARY</t>
  </si>
  <si>
    <t>Total Red Flags Triggered:</t>
  </si>
  <si>
    <t>Total Tests Passed:</t>
  </si>
  <si>
    <t>Overall Risk Score (out of 32):</t>
  </si>
  <si>
    <t>Verdict:</t>
  </si>
  <si>
    <t>ADVANCED EXCEPTION ENGINE  |  13 Deep-Diagnostic Risk Tests  (Supplement to 12_Red_Flags)</t>
  </si>
  <si>
    <t>Exception Test</t>
  </si>
  <si>
    <t>Computed Value</t>
  </si>
  <si>
    <t>Risk Explanation &amp; Probable Cause</t>
  </si>
  <si>
    <t>Banker Action / Verification</t>
  </si>
  <si>
    <t>1. Sudden Receivable Spike</t>
  </si>
  <si>
    <t>&gt; 50% with sales &lt; 20%</t>
  </si>
  <si>
    <t>"Receivables grew &gt;50% while sales grew &lt;20%. Possible channel stuffing, inflated debtors, or collection failure. Classic NPA precursor."</t>
  </si>
  <si>
    <t>"Verify debtor ageing schedule. Cross-check with GST sales register. Request top-10 debtor list + overdue status."</t>
  </si>
  <si>
    <t>2. Inventory vs Sales Mismatch</t>
  </si>
  <si>
    <t>&lt; 2x (Inv growth : Sales growth)</t>
  </si>
  <si>
    <t>"Inventory growing faster than 2× sales — suggests slow-moving stock, demand fall, or inventory inflation for drawing power manipulation."</t>
  </si>
  <si>
    <t>"Inspect stock statements, movement registers, stock audit report. Check if valuation basis has changed."</t>
  </si>
  <si>
    <t>3. Earnings Quality — PAT+ve but NWC Eroding</t>
  </si>
  <si>
    <t>PAT &gt; 0 requires NWC stable</t>
  </si>
  <si>
    <t>"PAT is positive but NWC is severely negative — profits are not cash-backed. May indicate accrual-based income, delayed receivable collection, or rising short-term obligations."</t>
  </si>
  <si>
    <t>"Request cash flow statement. Reconcile PAT to operating cash flows. Check for large creditor increases or deferred payments."</t>
  </si>
  <si>
    <t>4. EBITDA Growth Without Sales Growth</t>
  </si>
  <si>
    <t>Not &gt; +10% when sales growth &lt; 0%</t>
  </si>
  <si>
    <t>"EBITDA improved &gt;10% while revenue fell — could indicate cost-cutting (positive) OR one-time income, accounting reclassification, or capitalization of costs (negative)."</t>
  </si>
  <si>
    <t>"Analyse cost structure changes YoY. Check for cost deferrals, depreciation policy changes, or extraordinary items inflating EBITDA."</t>
  </si>
  <si>
    <t>5. Aggressive Leverage Jump</t>
  </si>
  <si>
    <t>≤ 50% single-year increase</t>
  </si>
  <si>
    <t>"Term debt grew &gt;50% in one year. Rapid leverage build-up strains future DSCR, especially if EBITDA growth doesn't match."</t>
  </si>
  <si>
    <t>"Verify purpose of new TL — capex plan, refinancing, or group diversion. Ensure DSCR projections remain adequate with new debt level."</t>
  </si>
  <si>
    <t>6. STBB Funding Long-Term Assets (Diversion)</t>
  </si>
  <si>
    <t>STBB ≤ 60% of TCA (not funding FA)</t>
  </si>
  <si>
    <t>"Short-term bank borrowings are disproportionately high relative to current assets — suggests WC limits funding capex or long-term assets (diversion from intended purpose)."</t>
  </si>
  <si>
    <t>"Cross-check fixed asset additions vs long-term funds raised. Request purpose-wise utilisation certificate. Fund-flow analysis."</t>
  </si>
  <si>
    <t>7. Old Receivable Concentration (&gt;6 Months)</t>
  </si>
  <si>
    <t>≤ 15% of total debtors</t>
  </si>
  <si>
    <t>"More than 15% of trade receivables are aged beyond 6 months — signals chronic collection weakness or NPA-grade debtors on books."</t>
  </si>
  <si>
    <t>"Obtain debtor ageing report. Identify top overdue accounts. Verify provisions adequacy. Examine if these are related-party transactions."</t>
  </si>
  <si>
    <t>8. Rapid Unsecured Loan Movement</t>
  </si>
  <si>
    <t>Δ USL ≤ 10% of Net Sales</t>
  </si>
  <si>
    <t>"Unsecured loans increased by &gt;10% of Net Sales in latest year — signals related-party fund infusion/diversion or promoter siphoning disguised as inter-company loans."</t>
  </si>
  <si>
    <t>"Demand loan-wise USL schedule with lender/borrower names. Check if USL outflows exceed inflows. Examine for group exposure concentration."</t>
  </si>
  <si>
    <t>9. GST/Revenue-Inventory Disconnect</t>
  </si>
  <si>
    <t>Sales jump &gt; 30% needs inventory/debtor support</t>
  </si>
  <si>
    <t>"Revenue jumped &gt;30% but inventory+debtors grew &lt;5% — inconsistent for manufacturing/trading businesses. May indicate inflated revenue or under-reporting of debtors."</t>
  </si>
  <si>
    <t>"Cross-verify revenue with GSTR-3B/GSTR-1 data. Reconcile with Form 26AS TDS receipts. Inspect bank credits vs reported turnover."</t>
  </si>
  <si>
    <t>10. Projection CAGR vs Historical CAGR</t>
  </si>
  <si>
    <t>Projected CAGR ≤ 2× historical CAGR</t>
  </si>
  <si>
    <t>"Projected revenue CAGR exceeds 2× the historically achieved CAGR — projections appear optimistic relative to demonstrated growth capacity."</t>
  </si>
  <si>
    <t>"Challenge assumptions underlying sales projections. Verify order book, capacity utilisation headroom. Request management note on growth drivers."</t>
  </si>
  <si>
    <t>11. STBB Replacing Term Debt (Maturity Mismatch)</t>
  </si>
  <si>
    <t>STBB rise should not &gt; TTL fall</t>
  </si>
  <si>
    <t>"Short-term borrowings increased while term loans declined — borrower may be rolling long-term debt through WC lines (prohibited). Maturity mismatch creates liquidity risk."</t>
  </si>
  <si>
    <t>"Examine end-use of TL repayments — were proceeds absorbed or recycled? Cross-check WC limit utilisation pattern. Review sanction conditions."</t>
  </si>
  <si>
    <t>12. Interest Capitalization Risk</t>
  </si>
  <si>
    <t>TL Interest / Instalments ≤ 1.5×</t>
  </si>
  <si>
    <t>"Interest on term loans far exceeds principal instalments — loan is interest-heavy in current structure. Risk of evergreening: interest kept current while principal is rolled."</t>
  </si>
  <si>
    <t>"Verify TL amortisation schedule. Check if principal payments are being funded from fresh drawdowns. Review DSCR vs actual repayment record."</t>
  </si>
  <si>
    <t>13. Related-Party USL Dependency</t>
  </si>
  <si>
    <t>USL / TNW ≤ 30%</t>
  </si>
  <si>
    <t>"Unsecured loans exceed 30% of Net Worth — high related-party dependency. USL can be called any time, creating sudden liquidity stress, or may represent disguised promoter withdrawal."</t>
  </si>
  <si>
    <t>"Identify USL lenders — promoters, group companies, or third parties. Confirm subordination to bank debt. Restrict USL repayment via covenant."</t>
  </si>
  <si>
    <t>EXCEPTION SUMMARY</t>
  </si>
  <si>
    <t>Tests Flagged</t>
  </si>
  <si>
    <t>Tests Passed</t>
  </si>
  <si>
    <t>Themed analysis. Each row tightens to 2-3 lines per cell. Industry context auto-pulled from selected sector outlook.</t>
  </si>
  <si>
    <t>Theme</t>
  </si>
  <si>
    <t>Status / Key Metric</t>
  </si>
  <si>
    <t>FOR (supporting the proposal)</t>
  </si>
  <si>
    <t>AGAINST (concerns to address)</t>
  </si>
  <si>
    <t>MITIGANTS (proposed safeguards)</t>
  </si>
  <si>
    <t>Sales / Revenue Trajectory</t>
  </si>
  <si>
    <t>Profitability &amp; Margins</t>
  </si>
  <si>
    <t>Leverage / Solvency</t>
  </si>
  <si>
    <t>Liquidity &amp; Working Capital</t>
  </si>
  <si>
    <t>Coverage / Debt Service</t>
  </si>
  <si>
    <t>Capex &amp; Funds Flow Discipline</t>
  </si>
  <si>
    <t>Industry / Macro Context</t>
  </si>
  <si>
    <t>Pricing &amp; Repayment Structure</t>
  </si>
  <si>
    <t>Short-Term Liquidity Visibility (13-Week)</t>
  </si>
  <si>
    <t>Conversational, paste-ready justification narrative. Auto-tunes by proposal type and observed metrics.</t>
  </si>
  <si>
    <t>1. Borrower &amp; Proposal</t>
  </si>
  <si>
    <t>2. Operations &amp; Sales Trajectory</t>
  </si>
  <si>
    <t>3. Liquidity &amp; Working Capital</t>
  </si>
  <si>
    <t>4. Solvency &amp; Leverage</t>
  </si>
  <si>
    <t>5. Coverage &amp; Debt Service</t>
  </si>
  <si>
    <t>6. Industry &amp; Macro Context</t>
  </si>
  <si>
    <t>7. Red Flag Synthesis</t>
  </si>
  <si>
    <t>8. Recommendation</t>
  </si>
  <si>
    <t>9. Sign-off</t>
  </si>
  <si>
    <t>Industry</t>
  </si>
  <si>
    <t>Outlook</t>
  </si>
  <si>
    <t>Prior_Performance</t>
  </si>
  <si>
    <t>Forecast_FY26</t>
  </si>
  <si>
    <t>Forecast_FY27</t>
  </si>
  <si>
    <t>Key_Drivers</t>
  </si>
  <si>
    <t>Key_Risks</t>
  </si>
  <si>
    <t>AIRPORT</t>
  </si>
  <si>
    <t>Positive</t>
  </si>
  <si>
    <t>FY25: Strong passenger traffic growth ~12-14%; airport modernisation cycle in execution.</t>
  </si>
  <si>
    <t>FY26 traffic muted (0-3% domestic) due to airspace closures from W. Asia conflict; concession revenues stable on passenger spend.</t>
  </si>
  <si>
    <t>FY27 recovery expected with traffic at 6-8% domestic, capex cycle continuing.</t>
  </si>
  <si>
    <t>Govt UDAN scheme (40M passengers target); new greenfield airports under PPP; non-aero revenue from F&amp;B/retail.</t>
  </si>
  <si>
    <t>Sensitivity to airline financial health; jet-fuel pass-through; FX on USD-denominated debt; regulatory tariff resets.</t>
  </si>
  <si>
    <t>ICRA Mar 2026 + IBEF Aviation 2026</t>
  </si>
  <si>
    <t>ALUMINIUM</t>
  </si>
  <si>
    <t>Stable</t>
  </si>
  <si>
    <t>FY25: Healthy demand from packaging, EVs, infra; LME prices firm; capacity utilisation &gt;90%.</t>
  </si>
  <si>
    <t>FY26 demand growth 6-8% with downstream pull from auto, construction; margins under pressure from rising power costs.</t>
  </si>
  <si>
    <t>FY27 demand 7-9% with EV battery casing and infrastructure projects; integrated players advantaged.</t>
  </si>
  <si>
    <t>Domestic EV/battery push; PLI for value-added aluminium; Sec 232 US tariff exemptions support exports.</t>
  </si>
  <si>
    <t>Coal/power cost spikes; LME volatility; Chinese supply pressure; bauxite/alumina input availability.</t>
  </si>
  <si>
    <t>CRISIL Ratings Round-up Sep 2025 + ICRA</t>
  </si>
  <si>
    <t>AUTO COMPONENTS</t>
  </si>
  <si>
    <t>Stable to Positive</t>
  </si>
  <si>
    <t>FY25: Strong upgrades; export growth 8-10%; benefiting from China+1; OPM ~12-13%.</t>
  </si>
  <si>
    <t>FY26 revenue growth 8-10%; tariff overhang on US exports moderating after rate reductions; India-EU FTA tailwind.</t>
  </si>
  <si>
    <t>FY27 growth 9-11% on EV component scale-up, premiumisation; PLI scheme support.</t>
  </si>
  <si>
    <t>Domestic OEM demand; export competitiveness vs China; PLI for advanced auto components; EV ecosystem buildout.</t>
  </si>
  <si>
    <t>US tariff residual uncertainty; rupee volatility; raw material (steel, aluminium, semiconductor) cost spikes.</t>
  </si>
  <si>
    <t>CRISIL Ratings Sep 2025 + ICRA Apr 2026</t>
  </si>
  <si>
    <t>AUTOMOBILES</t>
  </si>
  <si>
    <t>FY25: PV sales growth ~6-7%; 2W recovery; CV stable; tractor segment strong on rural demand.</t>
  </si>
  <si>
    <t>FY26 PV growth 5-7%, 2W 8-10%, CV 6-8%; GST rate cut Sep 2025 supporting affordability.</t>
  </si>
  <si>
    <t>FY27 PV 6-8% with EV penetration rising to 8-10% of new sales; rural-led 2W demand.</t>
  </si>
  <si>
    <t>GST relief; income-tax cuts; 8th Pay Commission impact; EV transition; rural buoyancy from monsoon.</t>
  </si>
  <si>
    <t>Crude oil at ~$105 post-conflict raising input/logistics; financing costs; semiconductor supply.</t>
  </si>
  <si>
    <t>CRISIL+ICRA Apr 2026 + IBEF</t>
  </si>
  <si>
    <t>AVIATION</t>
  </si>
  <si>
    <t>Negative</t>
  </si>
  <si>
    <t>FY25: Industry losses ~Rs 5,000-6,000 cr; PLF 87-89%; ATF prices easing supported recovery.</t>
  </si>
  <si>
    <t>FY26 net losses Rs 17,000-18,000 cr; domestic traffic 0-3% only; ATF up post-conflict; ~117 aircraft grounded (13-15% fleet).</t>
  </si>
  <si>
    <t>FY27 narrowing to Rs 11,000-12,000 cr losses (downside biased); recovery contingent on conflict de-escalation.</t>
  </si>
  <si>
    <t>Strong PLFs (~93%); international growth 7-9%; IndiGo dominance; FDTL norm changes.</t>
  </si>
  <si>
    <t>Brent at $105/bbl; rupee depreciation; W.Asia airspace closures; engine groundings; airfare cap removal; ICR weakening to 0.7-0.9x.</t>
  </si>
  <si>
    <t>ICRA Mar 2026 + Business Today</t>
  </si>
  <si>
    <t>CEMENT</t>
  </si>
  <si>
    <t>FY25: Production 453 MT (+6.3% YoY); OPBIDTA Rs 806/MT; demand 4-5%.</t>
  </si>
  <si>
    <t>FY26 demand 6.5-7.5%; OPBIDTA Rs 900-950/MT (+12-18%); GST revamp cuts Rs 30-35/bag prices.</t>
  </si>
  <si>
    <t>FY27 capacity additions of 150-160 MT cumulative FY25-FY28; demand growth 6-7% on infra+housing.</t>
  </si>
  <si>
    <t>Infra capex 10% rise FY26BE; housing schemes (PMAY); rural housing 32-34% of demand; GST rate cut.</t>
  </si>
  <si>
    <t>Power/fuel cost (pet coke); freight; capacity oversupply pressure on regional pricing; monsoon delays.</t>
  </si>
  <si>
    <t>CRISIL+ICRA+IBEF Cement 2026</t>
  </si>
  <si>
    <t>CERAMICS</t>
  </si>
  <si>
    <t>Adverse / Negative</t>
  </si>
  <si>
    <t>FY25: Stable demand; tile exports growing; gas prices volatile.</t>
  </si>
  <si>
    <t>FY26 — HARDEST HIT sector per CRISIL stress test; gas reliance critical; production halts risk; revenue could decline ~33%, profitability could halve.</t>
  </si>
  <si>
    <t>FY27 contingent on gas supply normalisation; structural shift to e-fuel under exploration; export-led recovery possible.</t>
  </si>
  <si>
    <t>Real estate demand recovery; export growth; switchover to alternative fuels.</t>
  </si>
  <si>
    <t>Heavy reliance on natural gas; W.Asia conflict directly threatens supply; Morbi (Gujarat) cluster gas allocations.</t>
  </si>
  <si>
    <t>CRISIL Stress Test Apr 2026</t>
  </si>
  <si>
    <t>CHEMICALS OTHERS</t>
  </si>
  <si>
    <t>Stable to Cautious</t>
  </si>
  <si>
    <t>FY25: Specialty chemicals saw modest growth; agrochems strong; commodity chems margin-pressured.</t>
  </si>
  <si>
    <t>FY26 revenue growth 7-9%; specialty chems may struggle to pass on input costs; W.Asia conflict raising hydrocarbon-derivatives.</t>
  </si>
  <si>
    <t>FY27 recovery 9-11% on China+1 sourcing; capex cycle visible; PLI for chemicals support.</t>
  </si>
  <si>
    <t>Export demand from China+1; agrochem demand from rural recovery; PLI scheme.</t>
  </si>
  <si>
    <t>Crude/feedstock price volatility; Chinese dumping; inability to pass on costs; environmental compliance.</t>
  </si>
  <si>
    <t>COAL</t>
  </si>
  <si>
    <t>FY25: Production growth ~7%; CIL output strong; captive coal blocks ramping.</t>
  </si>
  <si>
    <t>FY26 demand growth 5-7% on power sector pull; commercial coal mining gaining traction.</t>
  </si>
  <si>
    <t>FY27 demand 4-6% with renewable substitution gradually rising; coking coal still import-dependent.</t>
  </si>
  <si>
    <t>Thermal power demand; cement/steel pull; commercial mining auctions; rake availability.</t>
  </si>
  <si>
    <t>Renewable energy substitution; environmental regulations; rake shortages; transition risk over 5-10 yrs.</t>
  </si>
  <si>
    <t>Coal India Annual Report + Crisil</t>
  </si>
  <si>
    <t>CONSTRUCTION</t>
  </si>
  <si>
    <t>FY25: Strong rating upgrade momentum; order book healthy; execution improving.</t>
  </si>
  <si>
    <t>FY26 revenue growth 12-15% on infra capex; margins stable at 9-11%; working capital cycle normalising.</t>
  </si>
  <si>
    <t>FY27 growth 10-13% with project execution backlogs clearing; balance sheet repair continuing.</t>
  </si>
  <si>
    <t>Govt infra capex (10% rise); roads, railways, urban infra; PLI for construction equipment.</t>
  </si>
  <si>
    <t>Receivable concentration risk on PSU clients; project execution delays; commodity input cost; arbitration claims.</t>
  </si>
  <si>
    <t>CRISIL Sep 2025 (lead upgrade sector)</t>
  </si>
  <si>
    <t>CONSUMER DURABLES</t>
  </si>
  <si>
    <t>FY25: Premium segment growth; rural recovery patchy; component shortages easing.</t>
  </si>
  <si>
    <t>FY26 revenue growth 10-12% on GST cut Sep 2025 (lower prices); income-tax relief; rural pickup.</t>
  </si>
  <si>
    <t>FY27 growth 11-13% on premiumisation, smart-home adoption, replacement cycle.</t>
  </si>
  <si>
    <t>GST rate cut; income-tax relief; rising disposable income; rural electrification; e-commerce penetration.</t>
  </si>
  <si>
    <t>Component import dependence (semiconductors, compressors); FX volatility; commodity prices.</t>
  </si>
  <si>
    <t>Industry analyses post Sep 2025 GST cut</t>
  </si>
  <si>
    <t>DEFENCE</t>
  </si>
  <si>
    <t>FY25: Order book strong; indigenisation push ongoing; private participation rising.</t>
  </si>
  <si>
    <t>FY26 revenue growth 15-18%; MoD spending strong; SCOMET easing on exports.</t>
  </si>
  <si>
    <t>FY27 growth 14-17%; iDEX scheme expanding; private sector capex visible.</t>
  </si>
  <si>
    <t>Atmanirbhar Bharat; positive indigenisation list; export incentive (Rs 50,000 cr target by FY29); strategic partnerships.</t>
  </si>
  <si>
    <t>Long order-to-revenue cycles; PSU pricing; technology IP gaps; geopolitical tensions affecting tech transfers.</t>
  </si>
  <si>
    <t>MoD + IBEF Defence 2025</t>
  </si>
  <si>
    <t>DIAMOND</t>
  </si>
  <si>
    <t>Cautious / Improving</t>
  </si>
  <si>
    <t>FY25: Sharp tariff impact from US (largest market); volumes down 15-20%; cutters consolidating.</t>
  </si>
  <si>
    <t>FY26 stable to slow recovery as tariffs ease; lab-grown diamond competition rising; SME stress.</t>
  </si>
  <si>
    <t>FY27 selective recovery in branded jewellery; bulk diamond cutting still pressured.</t>
  </si>
  <si>
    <t>Tariff easing; India-EU FTA benefits; consolidation among cutters; lab-grown diamond export potential.</t>
  </si>
  <si>
    <t>Lab-grown diamond price collapse spillover; banking sector caution; working capital cycles stretching; default cluster.</t>
  </si>
  <si>
    <t>ICRA + GJEPC reports + ICRA Apr 2026</t>
  </si>
  <si>
    <t>EDIBLE OIL</t>
  </si>
  <si>
    <t>FY25: Heavy import dependence (~60% of demand); palm/soybean global volatility; mustard oil domestic strong.</t>
  </si>
  <si>
    <t>FY26 demand growth 4-5%; import duties revised; W.Asia conflict raising freight; oilseed mission ramping.</t>
  </si>
  <si>
    <t>FY27 self-sufficiency push continues; demand 3-5%; processor margins thin.</t>
  </si>
  <si>
    <t>National Mission on Edible Oils; oilseed yield improvement; consumer demand stable.</t>
  </si>
  <si>
    <t>Crude palm oil global price; freight (Suez/Red Sea); rupee depreciation; weather impact on oilseed crops.</t>
  </si>
  <si>
    <t>SEA + IBEF + Govt Oilseed Mission</t>
  </si>
  <si>
    <t>EDUCATION SECTOR</t>
  </si>
  <si>
    <t>FY25: K-12 strong; higher ed growth 12-15%; ed-tech consolidation post-bubble.</t>
  </si>
  <si>
    <t>FY26 growth 12-14% in formal education; vocational training scaling; NEP 2020 implementation phase.</t>
  </si>
  <si>
    <t>FY27 growth 11-13%; FDI in higher ed enabling international tie-ups; skill development thrust.</t>
  </si>
  <si>
    <t>NEP 2020; FDI relaxation in higher ed; skilling mission; demographic dividend; rising aspirations.</t>
  </si>
  <si>
    <t>Regulatory variability state-by-state; teacher quality scaling; ed-tech business model uncertainty.</t>
  </si>
  <si>
    <t>MoE + UGC + CRISIL Education sector reports</t>
  </si>
  <si>
    <t>ELECTRICAL EQUIPMENT</t>
  </si>
  <si>
    <t>FY25: Order book strong on T&amp;D capex; smart meter rollout; HVAC growth in commercial real estate.</t>
  </si>
  <si>
    <t>FY26 revenue growth 12-15% on T&amp;D, renewable evacuation, smart meters; PLI support.</t>
  </si>
  <si>
    <t>FY27 growth 11-14%; export competitiveness rising; CRGO/CRNGO dependence persists.</t>
  </si>
  <si>
    <t>Power T&amp;D capex (Rs 9 lakh cr by 2032); smart meter mandate; renewable energy integration; data centre demand.</t>
  </si>
  <si>
    <t>Copper/aluminium price volatility; CRGO import dependence; receivable risk from DISCOMs; competition from Chinese imports.</t>
  </si>
  <si>
    <t>CEA + Power Ministry + IBEF</t>
  </si>
  <si>
    <t>ELECTRONIC COMPONENTS</t>
  </si>
  <si>
    <t>FY25: PLI driving capex; semiconductor mission gaining; mobile manufacturing expanding.</t>
  </si>
  <si>
    <t>FY26 revenue growth 18-22%; component manufacturing PLI scheme funding flows; ATMP units commissioning.</t>
  </si>
  <si>
    <t>FY27 growth 20-25%; semiconductor fab capacity coming online (Tata, Micron); export growth.</t>
  </si>
  <si>
    <t>PLI for components (Rs 23,000 cr); semiconductor mission; mobile/laptop manufacturing scale-up; export incentives.</t>
  </si>
  <si>
    <t>Tech IP availability; skilled labour; capex execution; customs duty regime stability; global semi cycle.</t>
  </si>
  <si>
    <t>MeitY + India Semiconductor Mission</t>
  </si>
  <si>
    <t>FERTILISERS</t>
  </si>
  <si>
    <t>FY25: Subsidy-supported margins; volume growth muted ~1-2%; nano-urea adoption rising.</t>
  </si>
  <si>
    <t>FY26 production growth ~2%; subsidies Rs 2 lakh cr; NBS rates higher for P/S; nano-urea ramp.</t>
  </si>
  <si>
    <t>FY27 stable; W.Asia conflict raises potash/phosphate import costs; subsidy cushion.</t>
  </si>
  <si>
    <t>Subsidies; NBS rate revisions; nano-urea/Nano DAP capacity; PMKSK retail network; balanced nutrition push.</t>
  </si>
  <si>
    <t>Phosphate/potash global prices (W.Asia conflict); subsidy receivable timing; rupee depreciation; raw material availability.</t>
  </si>
  <si>
    <t>ICRA + DoF + 5paisa Jan 2026</t>
  </si>
  <si>
    <t>FOOD PROCESSING</t>
  </si>
  <si>
    <t>FY25: Strong rural demand; branded foods growth 12-15%; export of value-added strong.</t>
  </si>
  <si>
    <t>FY26 revenue growth 11-13% on rural recovery, premiumisation; W.Asia conflict raising packaging costs.</t>
  </si>
  <si>
    <t>FY27 growth 10-12%; PLI scheme momentum; cold chain expanding.</t>
  </si>
  <si>
    <t>PMFME, PLI Food Processing; cold chain infrastructure; rural-urban income convergence; modern retail.</t>
  </si>
  <si>
    <t>Commodity input volatility; packaging material cost; food inflation regulation; perishable supply chain.</t>
  </si>
  <si>
    <t>MoFPI + CRISIL + IBEF</t>
  </si>
  <si>
    <t>GEMS &amp; JEWELLERY</t>
  </si>
  <si>
    <t>FY25: Tariff impact severe in H1; gold price record highs supporting branded retail revenue.</t>
  </si>
  <si>
    <t>FY26 revenue growth 6-8% on gold value rise; volumes flat; lab-grown diamond drag.</t>
  </si>
  <si>
    <t>FY27 selective recovery in branded segment; tariff easing helping; consolidation of small players.</t>
  </si>
  <si>
    <t>Gold price elevation; wedding/festive demand stable; India-EU FTA; branded retail gaining share.</t>
  </si>
  <si>
    <t>Gold price correction; lab-grown diamond impact; export market tariffs; working capital intensity; loan stress.</t>
  </si>
  <si>
    <t>GJEPC + ICRA + CRISIL</t>
  </si>
  <si>
    <t>HOSPITALS</t>
  </si>
  <si>
    <t>FY25: Occupancy 65-70%; ARPOB up 8-10%; capex cycle in execution; significant rating upgrades.</t>
  </si>
  <si>
    <t>FY26 revenue growth 13-15%; EBITDA margins expanding to 22-24%; bed addition 8-10%.</t>
  </si>
  <si>
    <t>FY27 growth 12-14%; medical tourism revival to USD 16bn by 2030; insurance penetration rising.</t>
  </si>
  <si>
    <t>Aging demographics; insurance penetration (currently 41%); medical tourism (USD 7.7bn → 16bn); Ayushman Bharat.</t>
  </si>
  <si>
    <t>Manpower (doctor) costs; price regulation in select states; capex execution; payor mix concentration.</t>
  </si>
  <si>
    <t>ICRA + CRISIL Healthcare 2026 + IBEF</t>
  </si>
  <si>
    <t>HOTELS</t>
  </si>
  <si>
    <t>FY25: Premium occupancy 72-74%; ARR Rs 8,000-8,200; revenue growth 7-9%; significant rating upgrades.</t>
  </si>
  <si>
    <t>FY26 occupancy 72-74%; ARR Rs 8,200-8,500 (+3-4%); revenue growth 6-8%; H2 strong on MICE/weddings.</t>
  </si>
  <si>
    <t>FY27 sustained pricing power; demand-supply mismatch favourable; asset-light models scaling.</t>
  </si>
  <si>
    <t>Domestic leisure travel; MICE; weddings/events; religious/spiritual tourism; concert+sports demand; tourism budget Rs 2,541 cr.</t>
  </si>
  <si>
    <t>Aviation traffic disruption (currently negative outlook); FDTL norms; new supply addition in metros; food inflation impact on F&amp;B margins.</t>
  </si>
  <si>
    <t>ICRA Hospitality Jan 2026</t>
  </si>
  <si>
    <t>HYDROCARBON</t>
  </si>
  <si>
    <t>Mixed (Upstream Positive / Downstream Cautious)</t>
  </si>
  <si>
    <t>FY25: Upstream stable; refining margins compressed; LPG subsidy timing.</t>
  </si>
  <si>
    <t>FY26 — Brent $105 post-conflict (vs $72 prior); upstream OMCs benefit; refining margins stronger; gas supply concerns.</t>
  </si>
  <si>
    <t>FY27 dependent on conflict trajectory; downstream margins to compress if oil sustains $90+; RIL export complex strong.</t>
  </si>
  <si>
    <t>ONGC/Oil India production; private upstream investments; refining capacity expansion; petrochemical integration.</t>
  </si>
  <si>
    <t>Crude price volatility; Strait of Hormuz disruption; gas price formula resets; subsidy uncertainty; transition risk.</t>
  </si>
  <si>
    <t>ICRA + Petroleum Ministry Mar 2026</t>
  </si>
  <si>
    <t>INFORMATION TECHNOLOGY</t>
  </si>
  <si>
    <t>FY25: Revenue growth 6-8% in constant currency; margins stable; client tech budgets cautious.</t>
  </si>
  <si>
    <t>FY26 revenue 5-7% CC; AI/GenAI deal pipeline expanding; deal compression on discretionary; banking vertical mixed.</t>
  </si>
  <si>
    <t>FY27 growth 7-9% CC; AI services scaling; Eurozone weak; India business strong.</t>
  </si>
  <si>
    <t>AI/GenAI offerings; cloud transformation deals; vendor consolidation; India-domestic enterprise demand.</t>
  </si>
  <si>
    <t>Discretionary cuts in BFSI/retail; visa/wage inflation; AI commoditisation pressure; rupee strength can hurt.</t>
  </si>
  <si>
    <t>Nasscom + ICRA + Q3 FY26 results</t>
  </si>
  <si>
    <t>IRON &amp; STEEL</t>
  </si>
  <si>
    <t>FY25: Demand growth ~12%; HRC prices under pressure from Chinese exports; OPM ~12.5%.</t>
  </si>
  <si>
    <t>FY26 demand growth 8% (ICRA); HRC prices flat-to-soft; margins flat at ~12.5%; safeguard duty in place.</t>
  </si>
  <si>
    <t>FY27 demand 7-9%; capacity adds operationalising; steel decarbonisation policy taking shape.</t>
  </si>
  <si>
    <t>Infra capex; auto/cap goods demand; PLI specialty steel; safeguard duty insulation; green steel mission.</t>
  </si>
  <si>
    <t>Chinese supply (~115mt+ exports); coking coal prices; carbon transition costs; energy costs; freight.</t>
  </si>
  <si>
    <t>ICRA Steel Dec 2025 + CRISIL</t>
  </si>
  <si>
    <t>LEATHER</t>
  </si>
  <si>
    <t>Cautious</t>
  </si>
  <si>
    <t>FY25: Export pressure from US/EU tariff regimes; volumes down 8-10%; Kanpur/Chennai clusters stressed.</t>
  </si>
  <si>
    <t>FY26 revenue stable; selective recovery in finished products; chrome compliance costs rising.</t>
  </si>
  <si>
    <t>FY27 modest growth 5-7% with India-EU FTA benefits; restructuring underway.</t>
  </si>
  <si>
    <t>India-EU FTA; PLI for footwear/leather products (Rs 1,700 cr); export incentives; finished goods focus.</t>
  </si>
  <si>
    <t>US tariffs; environmental compliance; tannery clusters under regulatory pressure; raw hide availability.</t>
  </si>
  <si>
    <t>CLE + ICRA + Commerce Ministry</t>
  </si>
  <si>
    <t>LOGISTICS</t>
  </si>
  <si>
    <t>FY25: Strong infra capex pull; 3PL/4PL growth 14-16%; warehousing 18-22%; e-commerce-driven last mile.</t>
  </si>
  <si>
    <t>FY26 revenue growth 12-14%; warehousing 16-18%; PM Gati Shakti driving multimodal.</t>
  </si>
  <si>
    <t>FY27 growth 11-13%; DFC operationalisation; logistics cost target 9% of GDP from 13-14%.</t>
  </si>
  <si>
    <t>PM Gati Shakti; DFC; multimodal logistics parks; e-commerce; FMCG/consumer demand; cold chain.</t>
  </si>
  <si>
    <t>Fuel cost (Brent $105); driver/labour shortages; toll cost rises; regulatory fragmentation across states.</t>
  </si>
  <si>
    <t>MoCA + Logistics Division + CRISIL</t>
  </si>
  <si>
    <t>METALS OTHERS</t>
  </si>
  <si>
    <t>FY25: Zinc, copper, lead stable; capex cycle modest; downstream pull from EV, infra.</t>
  </si>
  <si>
    <t>FY26 demand growth 6-8% with auto, infra, electrical pull; LME-linked margin volatility.</t>
  </si>
  <si>
    <t>FY27 growth 7-9% on EV battery materials, infrastructure expansion.</t>
  </si>
  <si>
    <t>EV materials (lithium, cobalt processing); infra demand; electrical/electronics; PLI-linked downstream.</t>
  </si>
  <si>
    <t>LME prices; ore availability domestic vs import; energy costs; environmental clearances.</t>
  </si>
  <si>
    <t>MoM + LME + Industry analyses</t>
  </si>
  <si>
    <t>NBFC</t>
  </si>
  <si>
    <t>FY25: AUM growth 16-18%; asset quality stable; gold loan strong; MFI cautious.</t>
  </si>
  <si>
    <t>FY26 credit growth 15-17%; retail share rising to 48.5%; vehicle/housing/SME strong; MFI selectively recovering.</t>
  </si>
  <si>
    <t>FY27 growth 14-16%; bank funding eased after risk-weight rollback; profitability stable.</t>
  </si>
  <si>
    <t>Retail credit demand; co-lending models; bank funding revival; digital lending platforms; rural penetration.</t>
  </si>
  <si>
    <t>Unsecured loan stress (delinquency rising); MFI segment weakness; cost of funds; regulatory tightening (LCR, etc.).</t>
  </si>
  <si>
    <t>CRISIL MI&amp;A NBFC Sep 2025</t>
  </si>
  <si>
    <t>PAPER &amp; PAPER PRODUCTS</t>
  </si>
  <si>
    <t>FY25: Packaging strong; printing/writing weak; pulp prices elevated.</t>
  </si>
  <si>
    <t>FY26 revenue growth 6-8% on packaging demand; printing segment muted; capex selective.</t>
  </si>
  <si>
    <t>FY27 growth 7-9%; sustainable packaging tailwind; e-commerce driving demand.</t>
  </si>
  <si>
    <t>Packaging demand from e-commerce, FMCG; sustainable substitution from plastic; recycled fiber capacity.</t>
  </si>
  <si>
    <t>Pulp/wood input costs; energy costs; Chinese supply; environmental compliance.</t>
  </si>
  <si>
    <t>IPMA + ICRA</t>
  </si>
  <si>
    <t>PETROCHEMICALS</t>
  </si>
  <si>
    <t>FY25: Margins thin; cracker spreads compressed; capex cycle in execution.</t>
  </si>
  <si>
    <t>FY26 demand growth 8-10%; spreads under pressure from Asian capacity; conflict-driven feedstock cost.</t>
  </si>
  <si>
    <t>FY27 demand 9-11%; consolidation among integrated players; specialty products margin support.</t>
  </si>
  <si>
    <t>Domestic demand growth; specialty chemicals downstream; integrated refinery-petchem complex; PLI specialty.</t>
  </si>
  <si>
    <t>Crude/naphtha cost; Asian capacity overhang; spread compression; Chinese demand variability.</t>
  </si>
  <si>
    <t>ICRA + Petrochem Industry</t>
  </si>
  <si>
    <t>PHARMACEUTICALS</t>
  </si>
  <si>
    <t>FY25: Domestic formulations 8-10% growth; US generics stable; specialty/biosimilars scaling.</t>
  </si>
  <si>
    <t>FY26 revenue growth 9-11%; US generics steady; tariffs LIMITED IMPACT (generics excluded); India-EU FTA tailwind.</t>
  </si>
  <si>
    <t>FY27 growth 10-12%; specialty/biosimilars; CDMO opportunity from China+1.</t>
  </si>
  <si>
    <t>US generics market; CDMO/contract mfg growth; biosimilars; India-EU FTA; biopharma shakti budget; PLI bulk drugs.</t>
  </si>
  <si>
    <t>USFDA inspection observations; generic price erosion; complex generic competition; API Chinese dependency (~70%).</t>
  </si>
  <si>
    <t>CRISIL + ICRA + DoP + Apr 2026</t>
  </si>
  <si>
    <t>PLASTIC PROCESSING</t>
  </si>
  <si>
    <t>FY25: Demand growth 6-8% from packaging, auto; raw material prices stable to soft.</t>
  </si>
  <si>
    <t>FY26 demand 7-9%; conflict raising naphtha/PP costs; pass-through partial.</t>
  </si>
  <si>
    <t>FY27 growth 8-10%; recycled content mandates rising; specialty growth.</t>
  </si>
  <si>
    <t>Packaging demand from e-commerce, food; auto components; agriculture (drip irrigation); construction.</t>
  </si>
  <si>
    <t>Single-use plastic regulations; petchem feedstock volatility; recycled content mandates; export demand variability.</t>
  </si>
  <si>
    <t>AIPMA + Industry analyses</t>
  </si>
  <si>
    <t>PORTS</t>
  </si>
  <si>
    <t>FY25: Cargo handled +5-6%; capacity addition under Sagarmala; private port expansion.</t>
  </si>
  <si>
    <t>FY26 cargo growth 6-8%; capex cycle continuing; Maritime India Vision 2030 execution.</t>
  </si>
  <si>
    <t>FY27 growth 7-9%; mega-port projects commissioning; container traffic rising.</t>
  </si>
  <si>
    <t>Sagarmala; Maritime India Vision; PPP port projects; coastal shipping; trans-shipment hub aspirations.</t>
  </si>
  <si>
    <t>Trade volume globally; concession risk for PPP; competition from neighbouring transhipment hubs (Colombo, Singapore).</t>
  </si>
  <si>
    <t>MoPSW + IPA + Adani Ports analyses</t>
  </si>
  <si>
    <t>POWER</t>
  </si>
  <si>
    <t>FY25: Demand growth ~7%; renewable additions strong; significant rating upgrades.</t>
  </si>
  <si>
    <t>FY26 demand 6-8%; thermal capex revival; renewable adds 30-35 GW; power exchange volumes rising.</t>
  </si>
  <si>
    <t>FY27 demand 5-7%; storage/round-the-clock RE; DISCOM finances improving via UDAY-2/RDSS.</t>
  </si>
  <si>
    <t>Demand from data centres, EVs, manufacturing; PLI solar; nuclear push; T&amp;D capex.</t>
  </si>
  <si>
    <t>DISCOM receivable risk; coal availability for peak demand; renewable curtailment; tariff regulation in select states.</t>
  </si>
  <si>
    <t>MoP + CEA + ICRA Apr 2026 (lead upgrade sector)</t>
  </si>
  <si>
    <t>POWER CABLES</t>
  </si>
  <si>
    <t>FY25: Order book strong; export demand rising; revenue growth 18-22%.</t>
  </si>
  <si>
    <t>FY26 revenue 15-18%; T&amp;D capex pull; renewable evacuation; defence/railway orders.</t>
  </si>
  <si>
    <t>FY27 growth 14-17%; export competitiveness; specialty cables (HV, EHV, submarine) margin accretive.</t>
  </si>
  <si>
    <t>T&amp;D capex (Rs 9 lakh cr by 2032); renewable energy evacuation; data centres; railway electrification; export demand.</t>
  </si>
  <si>
    <t>Copper/aluminium price; CRGO availability; competition from Chinese cables; receivable risk from PSU clients.</t>
  </si>
  <si>
    <t>Industry analyses + CRISIL</t>
  </si>
  <si>
    <t>REAL ESTATE</t>
  </si>
  <si>
    <t>FY25: Residential strong; commercial leasing healthy; significant rating upgrades.</t>
  </si>
  <si>
    <t>FY26 residential sales growth 12-15%; commercial leasing 15-18msf; pricing 6-8% rise.</t>
  </si>
  <si>
    <t>FY27 growth moderating but stable; office demand from GCC/IT firms; retail/warehousing rising.</t>
  </si>
  <si>
    <t>Hybrid work normalising office demand; rising disposable income; GCC expansion; warehousing demand; REIT depth.</t>
  </si>
  <si>
    <t>Interest rate cycle; unsold inventory in select markets; project delays; RERA compliance variance; affordability.</t>
  </si>
  <si>
    <t>JLL + ICRA + Knight Frank + ICRA Apr 2026 (lead upgrade)</t>
  </si>
  <si>
    <t>ROADS</t>
  </si>
  <si>
    <t>FY25: Significant rating upgrades; HAM annuity model resilient; toll collections strong.</t>
  </si>
  <si>
    <t>FY26 NHAI awarding lower than FY25 hurting some EPC players; under-execution still strong; toll revenues healthy.</t>
  </si>
  <si>
    <t>FY27 expected revival in awarding; PPP model improving; InvIT monetisation continues.</t>
  </si>
  <si>
    <t>NHAI capex; PPP/HAM models; InvIT monetisation; logistics push; vehicle population growth.</t>
  </si>
  <si>
    <t>NHAI awarding cycle; arbitration delays; toll evasion; force majeure events; land acquisition delays.</t>
  </si>
  <si>
    <t>NHAI + ICRA Apr 2026 (lead upgrade) + Crisil Sep 2025</t>
  </si>
  <si>
    <t>SHIPBUILDING</t>
  </si>
  <si>
    <t>FY25: Cochin/Mazagon strong on defence orders; commercial yards selective.</t>
  </si>
  <si>
    <t>FY26 revenue growth 12-15% on defence/coast guard orders; export selectively rising.</t>
  </si>
  <si>
    <t>FY27 growth 10-13%; Maritime India Vision shipbuilding push; PLI scheme under consideration.</t>
  </si>
  <si>
    <t>Defence orders (CSL, MDL, GRSE); coast guard; PSU yard modernisation; Sagarmala shipbuilding cluster.</t>
  </si>
  <si>
    <t>Long order cycles; steel/equipment imports; technical complexity for naval vessels; commercial cycle volatility.</t>
  </si>
  <si>
    <t>MoD + MoPSW + Industry</t>
  </si>
  <si>
    <t>SHIPPING</t>
  </si>
  <si>
    <t>FY25: Tanker rates volatile; container softening; dry bulk recovery.</t>
  </si>
  <si>
    <t>FY26 freight rates volatile; conflict raising rates; coastal shipping push; cabotage.</t>
  </si>
  <si>
    <t>FY27 dependent on global trade; consolidation among Indian shipowners; coastal regional growth.</t>
  </si>
  <si>
    <t>Maritime India Vision; coastal shipping; cabotage relaxation; defence/coast guard orders; tonnage subsidy scheme.</t>
  </si>
  <si>
    <t>Global freight cycles; bunker fuel cost; ageing fleet; carbon emissions regulations; W.Asia route disruptions.</t>
  </si>
  <si>
    <t>MoPSW + INSA + Industry</t>
  </si>
  <si>
    <t>SUGAR and ETHANOL SECTOR</t>
  </si>
  <si>
    <t>FY25: Production 26.2 MT net; ethanol diversion 4 MT; FRP Rs 340/qtl; OPM ~9.6%.</t>
  </si>
  <si>
    <t>FY26 gross production 34 MT (up from 29.6 MT); net 30 MT; revenue growth 5-8%; OPM 10-10.5%; FRP Rs 355/qtl.</t>
  </si>
  <si>
    <t>FY27 stable; ethanol blending 20% achieved; govt exploring &gt;20% target.</t>
  </si>
  <si>
    <t>Ethanol Blending Programme (EBP); above-normal monsoon; FRP increases; export quotas; balance sheet repair.</t>
  </si>
  <si>
    <t>Cane FRP-to-ethanol price gap; monsoon variability; subsidy policy changes; export quota policy.</t>
  </si>
  <si>
    <t>ICRA Mar 2026 + ChiniMandi + Govt</t>
  </si>
  <si>
    <t>TELECOM</t>
  </si>
  <si>
    <t>FY25: ARPU rising; 5G subscribers ~250M; capex moderating; data consumption surging.</t>
  </si>
  <si>
    <t>FY26 5G subscribers reaching 314M; ARPU growth 8-10%; data growth on OTT/banking/healthcare.</t>
  </si>
  <si>
    <t>FY27 5G monetisation; B2B/enterprise demand; ARPU continuing rise; capex stabilising.</t>
  </si>
  <si>
    <t>5G rollout; ARPU rise; data consumption (OTT, fintech, healthtech); enterprise/IoT B2B; spectrum monetisation.</t>
  </si>
  <si>
    <t>Spectrum auction outflows; debt levels in some operators; price war (Vi-Jio-Airtel dynamics); regulatory changes (USOF).</t>
  </si>
  <si>
    <t>TRAI + DoT + Crisil 5G report</t>
  </si>
  <si>
    <t>TEXTILES</t>
  </si>
  <si>
    <t>FY25: US tariff impact severe; cotton volatility; spinning weak; ready-made garments better.</t>
  </si>
  <si>
    <t>FY26 revenue growth 6-8%; US tariff easing helping; India-EU FTA tailwind; PLI MMF capex visible.</t>
  </si>
  <si>
    <t>FY27 growth 8-10%; technical textiles strong; export competitiveness via FTA.</t>
  </si>
  <si>
    <t>PLI for MMF/technical textiles; PM MITRA parks; India-EU FTA; FTA with UK; tariff easing on US.</t>
  </si>
  <si>
    <t>Cotton price volatility; energy costs; competition from Bangladesh/Vietnam; ESG/Sustainability compliance for exports.</t>
  </si>
  <si>
    <t>Texmin + ICRA + Apr 2026 trade updates</t>
  </si>
  <si>
    <t>MACRO CONTEXT (FY26 / FY27)</t>
  </si>
  <si>
    <t>GDP_FY26</t>
  </si>
  <si>
    <t>7.5% (provisional FY26 actual; ICRA)</t>
  </si>
  <si>
    <t>GDP_FY27</t>
  </si>
  <si>
    <t>6.5% projected (ICRA Apr 2026 base case)</t>
  </si>
  <si>
    <t>Repo_Rate</t>
  </si>
  <si>
    <t>5.50% (post Apr+Jun 2025 cuts of 25bps and 50bps respectively)</t>
  </si>
  <si>
    <t>Inflation_FY26</t>
  </si>
  <si>
    <t>2.1% retail (FY26)</t>
  </si>
  <si>
    <t>Inflation_FY27</t>
  </si>
  <si>
    <t>4.3% projected</t>
  </si>
  <si>
    <t>Brent_Oil</t>
  </si>
  <si>
    <t>$105/bbl (Mar 2026, up from $72 prior to W. Asia conflict)</t>
  </si>
  <si>
    <t>Rupee_USD</t>
  </si>
  <si>
    <t>~Rs 87/USD (depreciation post-conflict)</t>
  </si>
  <si>
    <t>Bank_Credit_Growth_FY26</t>
  </si>
  <si>
    <t>13.8% YoY</t>
  </si>
  <si>
    <t>Bank_Credit_Growth_FY27</t>
  </si>
  <si>
    <t>~13% projected (CRISIL)</t>
  </si>
  <si>
    <t>Credit_Ratio_CRISIL_H2FY26</t>
  </si>
  <si>
    <t>1.5x (down from 2.17x in H1FY26)</t>
  </si>
  <si>
    <t>Credit_Ratio_ICRA_FY26</t>
  </si>
  <si>
    <t>3.1x (up from 2.0x in FY25)</t>
  </si>
  <si>
    <t>India_EU_FTA</t>
  </si>
  <si>
    <t>Concluded early 2026; benefits textiles, pharma, auto components</t>
  </si>
  <si>
    <t>US_Tariff_Status</t>
  </si>
  <si>
    <t>Easing after recent reductions; some uncertainty persists</t>
  </si>
  <si>
    <t>W_Asia_Conflict</t>
  </si>
  <si>
    <t>Late Feb 2026 escalation; Strait of Hormuz risk for energy/fertiliser supply</t>
  </si>
  <si>
    <t>GST_Reform</t>
  </si>
  <si>
    <t>Sep 2025 GST cut; cement Rs 30-35/bag reduction; consumer durables boost</t>
  </si>
  <si>
    <t>Income_Tax_Relief</t>
  </si>
  <si>
    <t>Relief in Budget 2025-26 supporting consumption</t>
  </si>
  <si>
    <t>PROJECTION STRESS TEST MODULE  |  Base / Moderate / Severe Scenario Analysis</t>
  </si>
  <si>
    <t xml:space="preserve">  A.  BASE CASE FINANCIALS  (auto-pulled from latest audited year)</t>
  </si>
  <si>
    <t>Base Variable</t>
  </si>
  <si>
    <t>Pulled Value (₹ Cr / %)</t>
  </si>
  <si>
    <t>EBITDA (₹ Cr)</t>
  </si>
  <si>
    <t>EBITDA Margin (%)</t>
  </si>
  <si>
    <t>Depreciation (₹ Cr)</t>
  </si>
  <si>
    <t>Total Interest (₹ Cr)</t>
  </si>
  <si>
    <t>TL Interest (₹ Cr)</t>
  </si>
  <si>
    <t>TL Instalments (₹ Cr)</t>
  </si>
  <si>
    <t>Cash Accruals (₹ Cr)</t>
  </si>
  <si>
    <t>TTL — Term Debt (₹ Cr)</t>
  </si>
  <si>
    <t>STBB — WC Borrowings (₹ Cr)</t>
  </si>
  <si>
    <t>Total Interest-Bearing Debt (₹ Cr)</t>
  </si>
  <si>
    <t>Net Worth / TNW (₹ Cr)</t>
  </si>
  <si>
    <t>Total Outside Liabilities (₹ Cr)</t>
  </si>
  <si>
    <t>Gross DSCR (from DSCR sheet)</t>
  </si>
  <si>
    <t>ICR (from Perf. Indicators)</t>
  </si>
  <si>
    <t>DSO (days)</t>
  </si>
  <si>
    <t>Inventory Days</t>
  </si>
  <si>
    <t xml:space="preserve">  B.  STRESS ASSUMPTIONS  (edit yellow cells to customise)</t>
  </si>
  <si>
    <t>Stress Variable</t>
  </si>
  <si>
    <t>MODERATE STRESS</t>
  </si>
  <si>
    <t>SEVERE STRESS</t>
  </si>
  <si>
    <t>Guidance</t>
  </si>
  <si>
    <t>Sales Decline (%)</t>
  </si>
  <si>
    <t>Revenue fall — demand slump, loss of key clients</t>
  </si>
  <si>
    <t>EBITDA Margin Compression (pp)</t>
  </si>
  <si>
    <t>Raw material rise / pricing pressure</t>
  </si>
  <si>
    <t>Interest Rate Increase (bps)</t>
  </si>
  <si>
    <t>100bps / 200bps on entire interest-bearing debt</t>
  </si>
  <si>
    <t>Receivable Elongation (days)</t>
  </si>
  <si>
    <t>DSO stretch — collection stress</t>
  </si>
  <si>
    <t>Inventory Buildup (days)</t>
  </si>
  <si>
    <t>Slow-moving stock / demand fall</t>
  </si>
  <si>
    <t xml:space="preserve">  C.  STRESSED OUTPUT METRICS  (auto-computed from Section B assumptions)</t>
  </si>
  <si>
    <t>Output Metric</t>
  </si>
  <si>
    <t>Base Case</t>
  </si>
  <si>
    <t>Moderate Stress</t>
  </si>
  <si>
    <t>Severe Stress</t>
  </si>
  <si>
    <t>Breach / Survival Alert</t>
  </si>
  <si>
    <t>Stressed Net Sales (₹ Cr)</t>
  </si>
  <si>
    <t>Stressed EBITDA (₹ Cr)</t>
  </si>
  <si>
    <t>Stressed Total Interest (₹ Cr)</t>
  </si>
  <si>
    <t>Stressed TL Interest (₹ Cr)</t>
  </si>
  <si>
    <t>"Sub-component of total interest on term loans only"</t>
  </si>
  <si>
    <t>Stressed Cash Accruals (₹ Cr)</t>
  </si>
  <si>
    <t>Stressed DSCR (Gross)</t>
  </si>
  <si>
    <t>Stressed ICR</t>
  </si>
  <si>
    <t>Stressed TOL / TNW</t>
  </si>
  <si>
    <t>Stressed Debtors (₹ Cr) — DSO Extension</t>
  </si>
  <si>
    <t>Stressed Inventory (₹ Cr) — Buildup</t>
  </si>
  <si>
    <t>"Inventory absorption of cash — monitor stock statements monthly"</t>
  </si>
  <si>
    <t xml:space="preserve">  D.  STRESS SURVIVAL COMMENTARY  (auto-generated)</t>
  </si>
  <si>
    <t>E.  NGFS CLIMATE STRESS SCENARIOS  (Network for Greening the Financial System — RBI Nov 2025)</t>
  </si>
  <si>
    <t>Four NGFS scenarios applied with industry-mapped severity. Penalties auto-adjusted if borrower's industry is hard-to-abate (Cement / Steel / Coal / Power / Refining / Chemicals). EBITDA compression and DSO/Inventory elongation modelled per scenario.</t>
  </si>
  <si>
    <t>Orderly
Transition</t>
  </si>
  <si>
    <t>Disorderly
Transition</t>
  </si>
  <si>
    <t>Hot House
World</t>
  </si>
  <si>
    <t>Too Little
Too Late</t>
  </si>
  <si>
    <t>Orderly: gradual carbon pricing. Disorderly: sudden carbon tax shock (max impact on HTA). Hot House: mild policy, but rising input costs from physical risks. Too Little Too Late: combined hit.</t>
  </si>
  <si>
    <t>DSO Extension (days)</t>
  </si>
  <si>
    <t>Customer payment delays from supply-chain disruption. Hot House and TLTL scenarios show worst physical risk impact (extreme weather, flooded factories).</t>
  </si>
  <si>
    <t>Slower turnover from demand shock + supply stress. Climate physical risks (cyclones, floods) elongate inventory days especially in agri/coastal industries.</t>
  </si>
  <si>
    <t>Climate-linked monetary tightening + risk premium spread on hard-to-abate sectors.</t>
  </si>
  <si>
    <t xml:space="preserve">  NGFS STRESSED OUTPUT METRICS  (auto-computed for each scenario)</t>
  </si>
  <si>
    <t>Orderly</t>
  </si>
  <si>
    <t>Disorderly</t>
  </si>
  <si>
    <t>Hot House</t>
  </si>
  <si>
    <t>Too Little Late</t>
  </si>
  <si>
    <t>Verdict</t>
  </si>
  <si>
    <t>Stressed EBITDA Margin</t>
  </si>
  <si>
    <t>F.  CAUSAL CASCADE ENGINE  —  Single macro shock propagates through 10 interdependent variables</t>
  </si>
  <si>
    <t>Unlike Sections B-C (independent shocks) and Section E (climate scenarios), this engine models how a single causal event (e.g., Brent crude $130) cascades simultaneously through margins, working capital, debt, and DSCR via an elasticity matrix.</t>
  </si>
  <si>
    <t xml:space="preserve">  F.1  SCENARIO SELECTOR  (pick one macro event + severity)</t>
  </si>
  <si>
    <t>Selected Macro Scenario:</t>
  </si>
  <si>
    <t>Brent Oil Shock</t>
  </si>
  <si>
    <t>← Pick from dropdown</t>
  </si>
  <si>
    <t>Severity Multiplier (0%–200%):</t>
  </si>
  <si>
    <t>25% = mild  |  50% = moderate  |  100% = severe (full matrix)  |  150%+ = tail risk</t>
  </si>
  <si>
    <t>Confirmed Scenario:</t>
  </si>
  <si>
    <t>@</t>
  </si>
  <si>
    <t xml:space="preserve">  F.2  ELASTICITY MATRIX  (severe-state coefficients — recalibrate via LLM bridge in Section F.6)</t>
  </si>
  <si>
    <t>Macro Scenario</t>
  </si>
  <si>
    <t>Sales Δ%</t>
  </si>
  <si>
    <t>OPM Δ (pp)</t>
  </si>
  <si>
    <t>DSO Δ (days)</t>
  </si>
  <si>
    <t>Inv Days Δ</t>
  </si>
  <si>
    <t>Interest Δ (bps)</t>
  </si>
  <si>
    <t>Causal Channel</t>
  </si>
  <si>
    <t>Input cost spike → margin squeeze; downstream customers stretch DSO; precautionary inventory build</t>
  </si>
  <si>
    <t>Supply Chain Disruption</t>
  </si>
  <si>
    <t>Production disruption → revenue loss; raw material hoarding inflates inventory</t>
  </si>
  <si>
    <t>Rate Hike 200bps</t>
  </si>
  <si>
    <t>Direct interest expense rise; demand cooling; mild WC stretch</t>
  </si>
  <si>
    <t>Demand Slump</t>
  </si>
  <si>
    <t>Volume collapse; fixed costs absorb less revenue; channel inventory bloats</t>
  </si>
  <si>
    <t>INR Depreciation</t>
  </si>
  <si>
    <t>Imports costlier (margin hit); export tailwind partially offsets; rate premium for FX risk</t>
  </si>
  <si>
    <t>Recession</t>
  </si>
  <si>
    <t>Broad-based volume + pricing weakness; protracted receivable delays; risk premium widening</t>
  </si>
  <si>
    <t xml:space="preserve">  F.3  CASCADE STAGES  (each stage feeds the next — single macro shock propagates)</t>
  </si>
  <si>
    <t>Stage</t>
  </si>
  <si>
    <t>Description</t>
  </si>
  <si>
    <t>Base Value</t>
  </si>
  <si>
    <t>Stressed Value</t>
  </si>
  <si>
    <t>Δ</t>
  </si>
  <si>
    <t>1️⃣ Sales</t>
  </si>
  <si>
    <t>Net Sales (₹ Cr)  =  Base × (1 + Sales_Elasticity × Severity)</t>
  </si>
  <si>
    <t>Driven by Sales Δ%</t>
  </si>
  <si>
    <t>2️⃣ Margin</t>
  </si>
  <si>
    <t>OPM (%)  =  Base + (OPM_Elasticity × Severity)</t>
  </si>
  <si>
    <t>Pricing power + cost pass-through</t>
  </si>
  <si>
    <t>3️⃣ EBITDA</t>
  </si>
  <si>
    <t>EBITDA (₹ Cr)  =  Stressed Sales × Stressed OPM</t>
  </si>
  <si>
    <t>Compounds Sales × Margin shocks</t>
  </si>
  <si>
    <t>4️⃣ DSO</t>
  </si>
  <si>
    <t>DSO (days)  =  Base + (DSO_Elasticity × Severity)</t>
  </si>
  <si>
    <t>Customer financial stress propagates downstream</t>
  </si>
  <si>
    <t>5️⃣ Inventory</t>
  </si>
  <si>
    <t>Inventory Days  =  Base + (Inv_Elasticity × Severity)</t>
  </si>
  <si>
    <t>Demand slump or stockpile precaution</t>
  </si>
  <si>
    <t>6️⃣ WC Gap</t>
  </si>
  <si>
    <t>Incremental WC need  =  (ΔDSO + ΔInv) × Stressed Sales / 365</t>
  </si>
  <si>
    <t>Cash absorbed by elongated cycle</t>
  </si>
  <si>
    <t>7️⃣ STBB Need</t>
  </si>
  <si>
    <t>Required STBB (₹ Cr)  =  Existing STBB + WC Gap</t>
  </si>
  <si>
    <t>Drives interest burden in next stage</t>
  </si>
  <si>
    <t>8️⃣ Interest</t>
  </si>
  <si>
    <t>Interest (₹ Cr)  =  (Old Debt + WC Gap) × Stressed Rate</t>
  </si>
  <si>
    <t>Compounds: more debt × higher rate</t>
  </si>
  <si>
    <t>9️⃣ Cash Accr.</t>
  </si>
  <si>
    <t>Cash Accruals  =  (EBITDA − Dep − Interest) × 0.75 + Dep</t>
  </si>
  <si>
    <t>After tax effect on stressed PBT</t>
  </si>
  <si>
    <t>🔟 DSCR</t>
  </si>
  <si>
    <t>Gross DSCR  =  (Cash Accr + TL Int) / (TL Instal + TL Int)</t>
  </si>
  <si>
    <t>Final survival metric</t>
  </si>
  <si>
    <t xml:space="preserve">  F.4  CAUSAL VERDICT  &amp;  AUTO-NARRATIVE</t>
  </si>
  <si>
    <t>Final Stressed DSCR:</t>
  </si>
  <si>
    <t xml:space="preserve">  F.5  SEVERITY LADDER  —  DSCR breakpoint search at fixed scenario</t>
  </si>
  <si>
    <t>Severity →</t>
  </si>
  <si>
    <t>Stressed DSCR</t>
  </si>
  <si>
    <t>DSCR=1.0 Breakpoint:</t>
  </si>
  <si>
    <t xml:space="preserve">  F.6  LLM BRIDGE  —  Quarterly Elasticity Recalibration</t>
  </si>
  <si>
    <t>Run this prompt periodically to refresh the F.2 Elasticity Matrix with current macro readings.</t>
  </si>
  <si>
    <t>PROMPT TO USE EXTERNALLY (paste into LLM):</t>
  </si>
  <si>
    <t>System Role: Macroeconomic Strategist &amp; Sectoral Credit Analyst (Indian banking context).</t>
  </si>
  <si>
    <t>Context: I run an offline causal cascade engine modeling 6 macro shocks → 5 transmission variables (Sales, OPM, DSO, Inv, Interest).</t>
  </si>
  <si>
    <t>Task: Based on the latest CRISIL/ICRA/Fitch sector reports and RBI Financial Stability Report (current quarter), provide updated elasticity coefficients for each scenario × variable cell. Borrower sector: [SECTOR — e.g., Auto Components / Pharma / Steel / IT Services / NBFC].</t>
  </si>
  <si>
    <t>Constraints: Output as a 6x5 CSV grid (Scenario × Variable). Use SEVERE-state coefficients (i.e., 100% severity = full shock). No code, no Python, no commentary outside the CSV. Each cell: signed decimal (e.g., -0.10 for -10%, +0.02 for +2%).</t>
  </si>
  <si>
    <t>After receiving output: paste new values into cells C78:G83 (yellow-highlighted matrix cells) of 15_Stress_Test sheet. Verify Section F.3 cascade outputs respond appropriately.</t>
  </si>
  <si>
    <t>ESG &amp; CLIMATE RISK SCORECARD  |  RBI Master Direction (Nov 2025)  |  CRISIL Methodology  |  BRSR-aligned</t>
  </si>
  <si>
    <t>Pillar</t>
  </si>
  <si>
    <t>Sub-Parameter / Indicator</t>
  </si>
  <si>
    <t>Score (0-10)</t>
  </si>
  <si>
    <t>Weighted</t>
  </si>
  <si>
    <t>Evaluation Logic / Notes</t>
  </si>
  <si>
    <t>Environmental</t>
  </si>
  <si>
    <t>Scope 1 &amp; 2 GHG Emissions Intensity</t>
  </si>
  <si>
    <t>Aligns to net-zero pathways. Score 8-10 if reductions vs base year. Score 2-4 if emissions intensity rising.</t>
  </si>
  <si>
    <t>Resource Use &amp; Waste Management</t>
  </si>
  <si>
    <t>Water consumption intensity, hazardous waste compliance, circular economy KPIs (recycling %, reuse rates).</t>
  </si>
  <si>
    <t>Indian Green Taxonomy (Capex Alignment)</t>
  </si>
  <si>
    <t>% of capex aligned with RBI interim Green Taxonomy — renewables, clean transport, energy efficiency.</t>
  </si>
  <si>
    <t>Social</t>
  </si>
  <si>
    <t>Labour Practices &amp; Occupational Safety</t>
  </si>
  <si>
    <t>LTIFR (Lost-Time Injury Frequency Rate), statutory labour rights, contract-vs-permanent worker mix.</t>
  </si>
  <si>
    <t>Community Impact &amp; Stakeholder Grievances</t>
  </si>
  <si>
    <t>Pending litigations, community disputes, human rights, product safety incidents (BRSR Section C).</t>
  </si>
  <si>
    <t>Governance</t>
  </si>
  <si>
    <t>Board Independence &amp; Ethics</t>
  </si>
  <si>
    <t>% Independent Directors, Code of Conduct, Anti-Bribery policy enforcement, Whistleblower mechanism.</t>
  </si>
  <si>
    <t>BRSR Disclosure Quality &amp; Transparency</t>
  </si>
  <si>
    <t>Timeliness, third-party assurance/verification of ESG data — counters greenwashing risk.</t>
  </si>
  <si>
    <t>Regulatory Compliance &amp; Audit History</t>
  </si>
  <si>
    <t>Historical fines, environmental penalties, frequency/severity of auditor qualifications.</t>
  </si>
  <si>
    <t>PILLAR SUBTOTALS</t>
  </si>
  <si>
    <t>Total Wt</t>
  </si>
  <si>
    <t>Avg Score</t>
  </si>
  <si>
    <t>Pillar Status</t>
  </si>
  <si>
    <t>Pillar Note</t>
  </si>
  <si>
    <t>Hard-to-Abate Sector Modifier</t>
  </si>
  <si>
    <t>"Cement, Steel, Coal, Aluminium, Refining, Thermal Power, Chemicals — apply transition penalty unless borrower demonstrates decarbonisation capex"</t>
  </si>
  <si>
    <t>TOTAL ESG SCORE  (out of 100)</t>
  </si>
  <si>
    <t>"Score divided by 10 maps to 0B_Credit_Scoring Cat 11 (5% weight)"</t>
  </si>
  <si>
    <t>INSTRUCTIONS: Edit Column E (Score 0-10) for each indicator based on borrower's BRSR disclosures, third-party ESG ratings (CRISIL/CARE), or sector-specific evidence. Default = 5 (industry average). Score 0-3: weak/non-disclosure. 4-5: basic compliance. 6-7: meaningful action. 8-10: leadership. Hard-to-abate sectors auto-detected and penalised 10% unless borrower has documented decarbonisation strategy. Final ESG Score feeds into 0B_Credit_Scoring as Category 11 (ESG Risk &amp; Climate Resilience).</t>
  </si>
  <si>
    <t>ADVANCED EARLY WARNING SIGNALS (EWS)  |  RBI Master Direction on Fraud Risk Management (Jul 2024 + 2025-26 amendments)</t>
  </si>
  <si>
    <t>Indicator (RBI EWS Master Direction)</t>
  </si>
  <si>
    <t>Triggered? (Yes/No)</t>
  </si>
  <si>
    <t>Severity</t>
  </si>
  <si>
    <t>Points</t>
  </si>
  <si>
    <t>Banker Action / Reference</t>
  </si>
  <si>
    <t>A. OPERATIONAL CONDUCT</t>
  </si>
  <si>
    <t>Default/delay in undisputed payments to statutory bodies (GST, PF, IT, ESI)</t>
  </si>
  <si>
    <t>Critical</t>
  </si>
  <si>
    <t>Critical EWS. Cross-check GST portal, EPFO, IT Form 26AS. Restrict drawdowns immediately.</t>
  </si>
  <si>
    <t>Bouncing of high-value cheques (&gt;₹10 lakh) or systematic payment failures</t>
  </si>
  <si>
    <t>High</t>
  </si>
  <si>
    <t>Pull cheque return register from CC/OD account. Validate with bank statements.</t>
  </si>
  <si>
    <t>Frequent invocation of Bank Guarantees (BGs) and devolvement of LCs</t>
  </si>
  <si>
    <t>Review LC/BG ledger. Verify underlying contractual disputes. Strengthen NFB margins.</t>
  </si>
  <si>
    <t>Continuous overdrawing/excess of CC limit (&gt;30 days in last 6 months)</t>
  </si>
  <si>
    <t>Examine ad-hoc enhancement history. Review actual vs sanctioned utilisation pattern.</t>
  </si>
  <si>
    <t>Frequent ad-hoc/temporary limit requests (&gt;3 in 12 months)</t>
  </si>
  <si>
    <t>Medium</t>
  </si>
  <si>
    <t>Pattern of liquidity stress. Reassess WC adequacy and DP calculation.</t>
  </si>
  <si>
    <t>Significant inventory movements not commensurate with sales growth</t>
  </si>
  <si>
    <t>Stock audit verification. Compare with GSTR sales register. Stock turnover trend.</t>
  </si>
  <si>
    <t>Funds from other banks routed to liquidate principal/interest of own bank</t>
  </si>
  <si>
    <t>AA/CRILC verification of multi-bank flows. Indicates evergreening risk.</t>
  </si>
  <si>
    <t>Onerous clauses in BGs/LCs (open-ended, unconditional)</t>
  </si>
  <si>
    <t>Review NFB documentation. Tighten covenants on issuance discretion.</t>
  </si>
  <si>
    <t>High-value RTGS/cheque returns inward (&gt;5% of turnover)</t>
  </si>
  <si>
    <t>Check customer concentration. Examine receivable quality.</t>
  </si>
  <si>
    <t>Liquidity crunch shown by frequent advance/excess drawal requests</t>
  </si>
  <si>
    <t>Build 13W cash flow forecast (Sheet 18). Restrict exception drawdowns.</t>
  </si>
  <si>
    <t>B. MANAGERIAL CONDUCT</t>
  </si>
  <si>
    <t>Persistent delay in submitting stock statements or financial data</t>
  </si>
  <si>
    <t>Apply MSOD penalty interest. Issue notice. Tighten submission covenant.</t>
  </si>
  <si>
    <t>Frequent unexplained changes in fund utilization or end-use</t>
  </si>
  <si>
    <t>End-use certificate verification. CA-certified utilisation report. Site inspection.</t>
  </si>
  <si>
    <t>Resistance to or adverse remarks during concurrent/stock audits</t>
  </si>
  <si>
    <t>Document resistance instances. Escalate to Special Mention Account (SMA) tracking.</t>
  </si>
  <si>
    <t>Frequent changes in management/Board of Directors</t>
  </si>
  <si>
    <t>MCA portal verification. Examine succession risk. Promoter group cohesion check.</t>
  </si>
  <si>
    <t>Resignation of key personnel — CFO, Auditor, Independent Director</t>
  </si>
  <si>
    <t>Material disclosure check. Stock exchange filings. Verify with MCA21.</t>
  </si>
  <si>
    <t>Promoter pledge of shares (&gt;50% of holding)</t>
  </si>
  <si>
    <t>Depository confirmation (NSDL/CDSL). Cross-default trigger if collateral price falls.</t>
  </si>
  <si>
    <t>Disputes among promoters/family disputes affecting control</t>
  </si>
  <si>
    <t>ROC public records. Pending litigations search via court database.</t>
  </si>
  <si>
    <t>Concealment of material facts in CMA / loan application</t>
  </si>
  <si>
    <t>Critical EWS. Issue 21-day show-cause notice. Refer to SCBMF.</t>
  </si>
  <si>
    <t>Forensic audit qualifications or evidence of fund diversion</t>
  </si>
  <si>
    <t>Critical EWS. Mandatory RFA flagging. Convene Special Committee.</t>
  </si>
  <si>
    <t>Significant related-party transactions outside arm's length</t>
  </si>
  <si>
    <t>Review notes to accounts. Examine pricing reasonableness. RPT register.</t>
  </si>
  <si>
    <t>Material weakness in internal controls per auditor</t>
  </si>
  <si>
    <t>Auditor's report annexure. Internal control deficiency disclosure.</t>
  </si>
  <si>
    <t>C. MARKET INTELLIGENCE</t>
  </si>
  <si>
    <t>Borrower's mobile flagged on DoT Financial Fraud Risk Indicator (FRI)</t>
  </si>
  <si>
    <t>Critical EWS. Block onboarding/disbursement. Reverify KYC immediately.</t>
  </si>
  <si>
    <t>Discrepancies in title deeds / valuation overstatements by valuers</t>
  </si>
  <si>
    <t>Empanelled valuer cross-check. Sub-Registrar verification. Joint inspection.</t>
  </si>
  <si>
    <t>Negative news in mainstream/business media (last 6 months)</t>
  </si>
  <si>
    <t>Media monitoring tools. Document and assess impact on business viability.</t>
  </si>
  <si>
    <t>Negative news about associated/group companies</t>
  </si>
  <si>
    <t>Group exposure mapping. CRILC group consolidation check.</t>
  </si>
  <si>
    <t>Industry-wide stress (sector NPA &gt;5% in latest data)</t>
  </si>
  <si>
    <t>Low</t>
  </si>
  <si>
    <t>Sector outlook from RBI Financial Stability Report. Reduce sector exposure.</t>
  </si>
  <si>
    <t>Loss of major customer/contract (&gt;20% of revenue)</t>
  </si>
  <si>
    <t>Customer concentration analysis. Reassess revenue projections.</t>
  </si>
  <si>
    <t>Reputational/quality issues with major customers</t>
  </si>
  <si>
    <t>Customer feedback inquiry. Product return/quality complaint trend.</t>
  </si>
  <si>
    <t>Regulatory action against borrower (SEBI, MCA, GST, IT)</t>
  </si>
  <si>
    <t>Regulator portal check. Penalty quantum. Materiality assessment.</t>
  </si>
  <si>
    <t>Pending high-value tax demands or litigations (&gt;10% of TNW)</t>
  </si>
  <si>
    <t>Auditor's notes. Form 36 filings. Contingent liability impact.</t>
  </si>
  <si>
    <t>Adverse environmental/social litigation (NGT, NHRC, consumer court)</t>
  </si>
  <si>
    <t>ESG impact. NGT case status check. Affects ESG scorecard (Sheet 16).</t>
  </si>
  <si>
    <t>D. FINANCIAL BEHAVIOR</t>
  </si>
  <si>
    <t>Operating margin decline &gt;10% YoY</t>
  </si>
  <si>
    <t>Auto-detected if Performance Indicators show OPM compression. Cost analysis required.</t>
  </si>
  <si>
    <t>PAT declining for 2+ consecutive years</t>
  </si>
  <si>
    <t>Sustainability question. Assess turnaround plan vs structural decline.</t>
  </si>
  <si>
    <t>Sharp increase in inventory days (&gt;30% YoY)</t>
  </si>
  <si>
    <t>Stock audit. Aging analysis. Slow-moving stock provisioning.</t>
  </si>
  <si>
    <t>Sharp increase in DSO (&gt;30% YoY)</t>
  </si>
  <si>
    <t>Debtor aging. Collection efficiency. Bad debt provisioning adequacy.</t>
  </si>
  <si>
    <t>Increase in unsecured loans &gt;20% YoY (related-party check)</t>
  </si>
  <si>
    <t>USL counterparty list. Subordination to bank debt. Movement reasons.</t>
  </si>
  <si>
    <t>Cash flow from operations turning negative</t>
  </si>
  <si>
    <t>Direct CFS reconciliation. PAT-to-CFO bridge analysis. Earnings quality.</t>
  </si>
  <si>
    <t>Auditor qualifications or 'Emphasis of Matter' in audit report</t>
  </si>
  <si>
    <t>Read full auditor report. Quantify financial impact of qualification.</t>
  </si>
  <si>
    <t>Audit fees declining sharply (&gt;30% YoY)</t>
  </si>
  <si>
    <t>Possible auditor independence compromise. Quality concern.</t>
  </si>
  <si>
    <t>Change of statutory auditor mid-year (without prescribed reasons)</t>
  </si>
  <si>
    <t>MCA Form ADT-3 reasons. Investigate departing auditor's concerns.</t>
  </si>
  <si>
    <t>Excessive promoter remuneration (&gt;5% of revenue or above policy)</t>
  </si>
  <si>
    <t>Sec 197/198 compliance. Comparative remuneration with peer group.</t>
  </si>
  <si>
    <t>Group company exposure spike — cross-guarantees, fresh advances &gt;25% TNW</t>
  </si>
  <si>
    <t>Group exposure cap policy. Cross-guarantee inventory. Concentration risk.</t>
  </si>
  <si>
    <t>E. API/AA RECONCILIATION (auto-tested if API mode active)</t>
  </si>
  <si>
    <t>API Gross Income vs Manual Net Sales variance &gt;10%</t>
  </si>
  <si>
    <t>Auto-flagged from Setup Section 8. Indicates potential financial misrepresentation.</t>
  </si>
  <si>
    <t>44</t>
  </si>
  <si>
    <t>Statistical anomaly detected (Module 3 master verdict ≥🟠)</t>
  </si>
  <si>
    <t>Auto-detected from 20_Anomaly_Detection. Investigate flagged engine — Benford → forensic ledger review; Rolling Z → trend break drill-down; Beneish → accruals scrub.</t>
  </si>
  <si>
    <t>EWS RISK AGGREGATION &amp; RFA TRIGGER</t>
  </si>
  <si>
    <t>Total Triggers</t>
  </si>
  <si>
    <t>Critical Count</t>
  </si>
  <si>
    <t>High Count</t>
  </si>
  <si>
    <t>Total Points</t>
  </si>
  <si>
    <t>RFA Status / Verdict</t>
  </si>
  <si>
    <t>Aggregate</t>
  </si>
  <si>
    <t>RBI Master Direction (Jul 2024) requires immediate flagging when (a) any Critical EWS triggered, OR (b) ≥2 High EWS triggered, OR (c) cumulative severity points exceed 15. RFA classification requires a 21-day show-cause notice per Supreme Court ruling before formal fraud declaration. Convene Special Committee for Monitoring Frauds (SCBMF) and propagate alert to Executive Dashboard.</t>
  </si>
  <si>
    <t>13-WEEK ROLLING CASH FLOW FORECAST  |  Direct Method  |  Treasury Liquidity Visibility</t>
  </si>
  <si>
    <t>Line Item</t>
  </si>
  <si>
    <t>Actual
(Wk 0)</t>
  </si>
  <si>
    <t>Wk 1</t>
  </si>
  <si>
    <t>Wk 2</t>
  </si>
  <si>
    <t>Wk 3</t>
  </si>
  <si>
    <t>Wk 4</t>
  </si>
  <si>
    <t>Wk 5</t>
  </si>
  <si>
    <t>Wk 6</t>
  </si>
  <si>
    <t>Wk 7</t>
  </si>
  <si>
    <t>Wk 8</t>
  </si>
  <si>
    <t>Wk 9</t>
  </si>
  <si>
    <t>Wk 10</t>
  </si>
  <si>
    <t>Wk 11</t>
  </si>
  <si>
    <t>Wk 12</t>
  </si>
  <si>
    <t>Wk 13</t>
  </si>
  <si>
    <t>13-Wk
Total</t>
  </si>
  <si>
    <t xml:space="preserve">  1.  OPENING CASH BALANCE</t>
  </si>
  <si>
    <t>Beginning Cash on Hand</t>
  </si>
  <si>
    <t xml:space="preserve">  2.  OPERATING CASH INFLOWS</t>
  </si>
  <si>
    <t>Cash Sales</t>
  </si>
  <si>
    <t>Domestic Receivable Collections</t>
  </si>
  <si>
    <t>Export Collections</t>
  </si>
  <si>
    <t>Other Operating Inflows</t>
  </si>
  <si>
    <t>Total Operating Inflows</t>
  </si>
  <si>
    <t xml:space="preserve">  3.  OPERATING CASH OUTFLOWS</t>
  </si>
  <si>
    <t>Raw Material Purchases</t>
  </si>
  <si>
    <t>Payroll &amp; Wages</t>
  </si>
  <si>
    <t>Rent, Utilities, Power</t>
  </si>
  <si>
    <t>GST &amp; Statutory Payments</t>
  </si>
  <si>
    <t>Other Operating Outflows</t>
  </si>
  <si>
    <t>Total Operating Outflows</t>
  </si>
  <si>
    <t xml:space="preserve">  4.  NET OPERATING CASH FLOW</t>
  </si>
  <si>
    <t xml:space="preserve">  5.  NON-OPERATING CASH FLOWS  (Investing + Financing)</t>
  </si>
  <si>
    <t>Capex / Fixed Asset Additions (cash)</t>
  </si>
  <si>
    <t>Term Loan Principal Repayment</t>
  </si>
  <si>
    <t>TL Interest Servicing</t>
  </si>
  <si>
    <t>WC / CC Interest</t>
  </si>
  <si>
    <t>Other Financing (Drawdowns / Equity)</t>
  </si>
  <si>
    <t>Total Non-Operating Cash Flow</t>
  </si>
  <si>
    <t xml:space="preserve">  6.  NET WEEKLY CASH FLOW</t>
  </si>
  <si>
    <t xml:space="preserve">  7.  CLOSING CASH BALANCE</t>
  </si>
  <si>
    <t xml:space="preserve">  8.  REQUIRED BANK FUNDING (CC/OD draw needed)</t>
  </si>
  <si>
    <t xml:space="preserve">  LIQUIDITY VERDICT</t>
  </si>
  <si>
    <t>Logistic regression bankruptcy model (Ohlson 1980). Outputs: Probability of Default (0-1), distress class, and SHAP-like marginal contribution analysis.</t>
  </si>
  <si>
    <t>A. RAW INPUTS  (₹ Crores)</t>
  </si>
  <si>
    <t>1</t>
  </si>
  <si>
    <t>TA — Total Assets</t>
  </si>
  <si>
    <t>BS row 108</t>
  </si>
  <si>
    <t>2</t>
  </si>
  <si>
    <t>TL — Total Liabilities (TOL = Outside Liab.)</t>
  </si>
  <si>
    <t>BS row 40 (TOL)</t>
  </si>
  <si>
    <t>3</t>
  </si>
  <si>
    <t>CA — Current Assets (TCA)</t>
  </si>
  <si>
    <t>BS row 82</t>
  </si>
  <si>
    <t>4</t>
  </si>
  <si>
    <t>CL — Current Liabilities (TCL)</t>
  </si>
  <si>
    <t>BS row 27</t>
  </si>
  <si>
    <t>5</t>
  </si>
  <si>
    <t>WC — Working Capital  (= CA − CL)</t>
  </si>
  <si>
    <t>Computed</t>
  </si>
  <si>
    <t>6</t>
  </si>
  <si>
    <t>NI — Net Income (PAT)</t>
  </si>
  <si>
    <t>OS row 58</t>
  </si>
  <si>
    <t>7</t>
  </si>
  <si>
    <t>FFO — Funds From Operations (= PAT + Dep)</t>
  </si>
  <si>
    <t>DSCR row 7 (cash accruals)</t>
  </si>
  <si>
    <t>B. DERIVED RATIOS</t>
  </si>
  <si>
    <t>8</t>
  </si>
  <si>
    <t>TL / TA  (leverage)</t>
  </si>
  <si>
    <t>Higher → distress</t>
  </si>
  <si>
    <t>9</t>
  </si>
  <si>
    <t>WC / TA  (liquidity)</t>
  </si>
  <si>
    <t>Higher → safer</t>
  </si>
  <si>
    <t>10</t>
  </si>
  <si>
    <t>CL / CA  (current liab. ratio)</t>
  </si>
  <si>
    <t>11</t>
  </si>
  <si>
    <t>NI / TA  (return on assets)</t>
  </si>
  <si>
    <t>12</t>
  </si>
  <si>
    <t>FFO / TL  (cash gen vs debt)</t>
  </si>
  <si>
    <t>13</t>
  </si>
  <si>
    <t>ln(TA / Size_Scaler)  (size term)</t>
  </si>
  <si>
    <t>Size_Scaler at C50</t>
  </si>
  <si>
    <t>14</t>
  </si>
  <si>
    <t>CHIN  =  (NIₜ − NIₜ₋₁) / (|NIₜ| + |NIₜ₋₁|)</t>
  </si>
  <si>
    <t>Earnings volatility</t>
  </si>
  <si>
    <t>C. BINARY FLAGS</t>
  </si>
  <si>
    <t>15</t>
  </si>
  <si>
    <t>OENEG  =  1 if TL &gt; TA  (negative equity)</t>
  </si>
  <si>
    <t>Insolvency proxy</t>
  </si>
  <si>
    <t>16</t>
  </si>
  <si>
    <t>INTWO  =  1 if NI &lt; 0 in two consecutive years</t>
  </si>
  <si>
    <t>Persistent loss flag</t>
  </si>
  <si>
    <t>D. COEFFICIENT TABLE  (Ohlson 1980 — overwrite via LLM Bridge for portfolio recalibration)</t>
  </si>
  <si>
    <t>Variable</t>
  </si>
  <si>
    <t>Coefficient (β)</t>
  </si>
  <si>
    <t>Baseline x̄ (healthy SME)</t>
  </si>
  <si>
    <t>Latest x</t>
  </si>
  <si>
    <t>β × x  (logit contribution)</t>
  </si>
  <si>
    <t>β × (x − x̄)  (deviation)</t>
  </si>
  <si>
    <t>Intercept (β₀)</t>
  </si>
  <si>
    <t>ln(TA / Size_Scaler)</t>
  </si>
  <si>
    <t>TL / TA</t>
  </si>
  <si>
    <t>WC / TA</t>
  </si>
  <si>
    <t>CL / CA</t>
  </si>
  <si>
    <t>OENEG flag</t>
  </si>
  <si>
    <t>NI / TA</t>
  </si>
  <si>
    <t>FFO / TL</t>
  </si>
  <si>
    <t>INTWO flag</t>
  </si>
  <si>
    <t>CHIN</t>
  </si>
  <si>
    <t>E. LOGIT (y) &amp; PROBABILITY OF DEFAULT</t>
  </si>
  <si>
    <t>17</t>
  </si>
  <si>
    <t>Logit (y)  =  Σ βᵢ × xᵢ  across all variables</t>
  </si>
  <si>
    <t>Linear combination</t>
  </si>
  <si>
    <t>18</t>
  </si>
  <si>
    <t>Probability of Default  =  exp(y) / (1 + exp(y))</t>
  </si>
  <si>
    <t>Logistic transform</t>
  </si>
  <si>
    <t>19</t>
  </si>
  <si>
    <t>O-Score Distress Class</t>
  </si>
  <si>
    <t>Thresholds: 0.038 (Ohlson opt cutoff), 0.20, 0.50</t>
  </si>
  <si>
    <t>20</t>
  </si>
  <si>
    <t>Probabilistic Credit Score (0-10)  =  10 × (1 − PD)</t>
  </si>
  <si>
    <t>For dashboard integration</t>
  </si>
  <si>
    <t>Size_Scaler  (₹ Cr) — denominator in ln(TA/PI). LLM-bridge calibratable.</t>
  </si>
  <si>
    <t>← median TA (₹ Cr) for "average" Indian mid-corp; recalibrate via LLM bridge</t>
  </si>
  <si>
    <t>F. MARGINAL CONTRIBUTION ANALYSIS  (SHAP-like, Latest Audited Yr)</t>
  </si>
  <si>
    <t>Each variable's contribution to logit deviation from a "healthy borrower" baseline. Positive = pushes toward distress.</t>
  </si>
  <si>
    <t>β × (x − x̄)</t>
  </si>
  <si>
    <t>|Deviation|</t>
  </si>
  <si>
    <t>Direction</t>
  </si>
  <si>
    <t>Rank by |Δ|</t>
  </si>
  <si>
    <t>Size: ln(TA / Scaler)</t>
  </si>
  <si>
    <t>OENEG (negative equity)</t>
  </si>
  <si>
    <t>NI / TA  (profitability)</t>
  </si>
  <si>
    <t>FFO / TL  (cash gen)</t>
  </si>
  <si>
    <t>INTWO (consecutive losses)</t>
  </si>
  <si>
    <t>CHIN  (earnings volatility)</t>
  </si>
  <si>
    <t>G. TOP 3 RISK DRIVERS &amp; STRENGTHS  (auto-derived from contribution analysis)</t>
  </si>
  <si>
    <t>🔴 TOP 3 RISK DRIVERS</t>
  </si>
  <si>
    <t>🟢 TOP 3 STRENGTHS</t>
  </si>
  <si>
    <t>Note: "Risk drivers" are ranked by largest POSITIVE β×(x−x̄) — variables most pushing the borrower toward distress. "Strengths" are largest NEGATIVE deviations — variables most pulling the borrower away from distress.</t>
  </si>
  <si>
    <t>H. EXECUTIVE NARRATIVE  (auto-generated, latest audited year)</t>
  </si>
  <si>
    <t>I. LLM BRIDGE — RECALIBRATION SOP  (run quarterly with anonymized portfolio data)</t>
  </si>
  <si>
    <t>Update path: Section D coefficient column C (rows 30-39) accepts new β values from LLM bridge.</t>
  </si>
  <si>
    <t>Update path: Section D baseline column D (rows 30-39) accepts new x̄ values calibrated to your portfolio.</t>
  </si>
  <si>
    <t>Update path: Cell C50 accepts a recalibrated Size_Scaler.</t>
  </si>
  <si>
    <t>PROMPT TO USE EXTERNALLY (paste into LLM with anonymized portfolio CSV):</t>
  </si>
  <si>
    <t>System Role: Senior Quantitative Credit Risk Modeler specializing in logistic regression scorecards.</t>
  </si>
  <si>
    <t>Context: I operate an offline Excel CMA tool using the Ohlson O-Score with the original 1980 coefficients. I want to recalibrate β to my own portfolio.</t>
  </si>
  <si>
    <t>Task: Run logistic regression on the attached anonymized CSV (target=Default 1/0, features=TA, TL, CA, CL, NI, FFO, OENEG, INTWO). Output: 10 calibrated β coefficients + 9 baseline x̄ values.</t>
  </si>
  <si>
    <t>Constraints: Output as a 2-column CSV (Coefficient_Name, Value). No code. No Python. No commentary outside the CSV.</t>
  </si>
  <si>
    <t>After receiving output: paste β values into C30:C39 and x̄ values into D31:D39. Verify Probability of Default in O43 still falls in [0,1].</t>
  </si>
  <si>
    <t>Three statistical engines for detecting forensic fraud (Benford), trend anomalies (Rolling Z), and earnings manipulation (NI-OCF divergence + Beneish-style).</t>
  </si>
  <si>
    <t>A. BENFORD'S LAW  —  Forensic Fraud Detection on Leading Digits</t>
  </si>
  <si>
    <t>Paste monetary amounts (₹ Cr or ₹) into column M (rows 6-505). The engine extracts first digits, computes observed-vs-Benford frequencies, and flags deviations using Z-statistic (critical value 1.96 for 95% confidence).</t>
  </si>
  <si>
    <t>(auto-extracted)</t>
  </si>
  <si>
    <t>↓ Paste amounts here (up to 500 rows)</t>
  </si>
  <si>
    <t>Leading
Digit</t>
  </si>
  <si>
    <t>Expected %
(Benford)</t>
  </si>
  <si>
    <t>Observed
Count</t>
  </si>
  <si>
    <t>Observed %</t>
  </si>
  <si>
    <t>|Δ|  =
|Obs − Exp|</t>
  </si>
  <si>
    <t>Z-Stat</t>
  </si>
  <si>
    <t>First Digit</t>
  </si>
  <si>
    <t>Amount Input ↓</t>
  </si>
  <si>
    <t>TOTAL N</t>
  </si>
  <si>
    <t>Chi-Square (df=8, 95% crit=15.51)</t>
  </si>
  <si>
    <t>BENFORD VERDICT  (max(Z) + Chi-square)</t>
  </si>
  <si>
    <t>Note: Benford's Law expects natural data with leading digit "1" appearing ~30.1% of the time. Manipulated data shows excess of digits 5-9.</t>
  </si>
  <si>
    <t>B. ROLLING Z-SCORE  —  Trend Anomaly Detection on Operational Metrics  (applied to Latest Audited Year vs. all prior years)</t>
  </si>
  <si>
    <t>For each metric: Z = (Latest Aud − Mean of Priors) / StDev of Priors. |Z| &gt; 2.0 = warning (95% CI), |Z| &gt; 3.0 = critical alert (99.7% CI). Requires ≥3 prior years of history.</t>
  </si>
  <si>
    <t>Latest Aud
Value</t>
  </si>
  <si>
    <t>Prior Yrs
Mean (μ)</t>
  </si>
  <si>
    <t>Prior Yrs
StDev (σ)</t>
  </si>
  <si>
    <t>N priors</t>
  </si>
  <si>
    <t>Z-Score</t>
  </si>
  <si>
    <t>Anomaly?</t>
  </si>
  <si>
    <t>Banker Action</t>
  </si>
  <si>
    <t>Sales Growth Y-o-Y</t>
  </si>
  <si>
    <t>Validate revenue spike via GST/banking. Channel stuffing suspect.</t>
  </si>
  <si>
    <t>Operating Profit Margin</t>
  </si>
  <si>
    <t>Examine margin deviation drivers — pricing, mix, cost shocks.</t>
  </si>
  <si>
    <t>Stock audit. Aging analysis. Slow-moving stock provisions.</t>
  </si>
  <si>
    <t>Debtor aging. Collection efficiency. Bad debt provisions.</t>
  </si>
  <si>
    <t>Verify creditors not stretched abnormally. Liquidity stress flag.</t>
  </si>
  <si>
    <t>Cash gen vs accrual margin gap — possible earnings manipulation.</t>
  </si>
  <si>
    <t>TOTAL ANOMALIES (|Z| &gt; 2)</t>
  </si>
  <si>
    <t>C. EARNINGS MANIPULATION COMPOSITE  —  Beneish-style indicators</t>
  </si>
  <si>
    <t>Detects classic manipulation patterns: rising profits while cash flow declines, aggressive accruals, and asset-quality deterioration.</t>
  </si>
  <si>
    <t>Indicator</t>
  </si>
  <si>
    <t>Formula</t>
  </si>
  <si>
    <t>Prior Aud</t>
  </si>
  <si>
    <t>Reading</t>
  </si>
  <si>
    <t>Interpretation</t>
  </si>
  <si>
    <t>PAT-Cash Profit Divergence</t>
  </si>
  <si>
    <t>PAT growth − Cash Profit growth</t>
  </si>
  <si>
    <t>Rising PAT with stagnant/falling cash → accruals manipulation</t>
  </si>
  <si>
    <t>DSRI — Days Sales in Receivables Index</t>
  </si>
  <si>
    <t>DSO_t / DSO_t-1</t>
  </si>
  <si>
    <t>Beneish: DSRI &gt; 1.465 is high manipulation probability</t>
  </si>
  <si>
    <t>TATA — Total Accruals / Total Assets</t>
  </si>
  <si>
    <t>(NI − Cash Profit) / TA</t>
  </si>
  <si>
    <t>Beneish: TATA &gt; 0.018 typical manipulator signature</t>
  </si>
  <si>
    <t>AQI — Non-current Asset Growth vs Sales Growth</t>
  </si>
  <si>
    <t>(NCA growth) − (Sales growth)</t>
  </si>
  <si>
    <t>Capitalization of expenses or related-party investment leakage</t>
  </si>
  <si>
    <t>SGAI — SG&amp;A Growth vs Sales Growth</t>
  </si>
  <si>
    <t>(SG&amp;A growth) − (Sales growth)</t>
  </si>
  <si>
    <t>Inverse: SGAI &gt; 1 reduces manipulation prob (genuine cost growth)</t>
  </si>
  <si>
    <t>EARNINGS MANIPULATION COMPOSITE</t>
  </si>
  <si>
    <t>Strong-signal count:</t>
  </si>
  <si>
    <t>D. AGGREGATE ANOMALY VERDICT</t>
  </si>
  <si>
    <t>Engine</t>
  </si>
  <si>
    <t>Headline</t>
  </si>
  <si>
    <t>Benford's Law (forensic)</t>
  </si>
  <si>
    <t>Rolling Z-Score (operational)</t>
  </si>
  <si>
    <t>MASTER ANOMALY VERDICT</t>
  </si>
  <si>
    <t>E. LLM BRIDGE — Threshold Calibration &amp; Forensic Refinement</t>
  </si>
  <si>
    <t>Use this prompt periodically (quarterly recommended) to refine anomaly thresholds based on industry-specific volatility and emerging fraud patterns.</t>
  </si>
  <si>
    <t>PROMPT FOR ANOMALY THRESHOLD REFINEMENT (paste into LLM):</t>
  </si>
  <si>
    <t>System Role: Forensic Accountant and Data Quality Auditor.</t>
  </si>
  <si>
    <t>Context: I run an offline anomaly engine using Benford Z-stat (current critical=1.96), Rolling Z-Score (current critical=3.0 |Z|), and Beneish-style indicators.</t>
  </si>
  <si>
    <t>Task: Based on recent corporate fraud case studies (FY2024-FY2026) and forensic auditing standards, recommend optimized thresholds for the following:</t>
  </si>
  <si>
    <t xml:space="preserve">  1. Benford Z-Stat critical value for [SECTOR — e.g., manufacturing/services/infrastructure]</t>
  </si>
  <si>
    <t xml:space="preserve">  2. Acceptable |Z| variance for working capital metrics in [SECTOR]</t>
  </si>
  <si>
    <t xml:space="preserve">  3. Beneish DSRI/TATA cutoffs specific to Indian SME context</t>
  </si>
  <si>
    <t>Constraints: Output a 2-column CSV (Indicator, Threshold). No code. Cite source standards (PCAOB/AICPA/ICAI) where applicable.</t>
  </si>
  <si>
    <t>After receiving output: update Z-Stat thresholds in row 8-16 column I logic (currently 1.96/2.58); rolling Z thresholds in rows 25-30 column H (currently 2/3); Beneish cutoffs in G36-G40.</t>
  </si>
  <si>
    <t>Two forecast horizons: ANNUAL (next 2 years from 12-yr history) and WEEKLY (next 13 weeks from 26-week input). Auto-seasonality detection identifies cycles.</t>
  </si>
  <si>
    <t>A. ANNUAL TIME-SERIES FORECAST  —  FORECAST.ETS on existing 12-year history</t>
  </si>
  <si>
    <t>Yr+1 Forecast</t>
  </si>
  <si>
    <t>±95% CI</t>
  </si>
  <si>
    <t>Yr+2 Forecast</t>
  </si>
  <si>
    <t>Trend</t>
  </si>
  <si>
    <t>YoY Implied</t>
  </si>
  <si>
    <t>Top-line revenue trajectory</t>
  </si>
  <si>
    <t>EBITDA / OPBI (₹ Cr)</t>
  </si>
  <si>
    <t>Operating profitability</t>
  </si>
  <si>
    <t>Cash Profit / Cash Accruals (₹ Cr)</t>
  </si>
  <si>
    <t>PAT + Depreciation</t>
  </si>
  <si>
    <t>PAT (₹ Cr)</t>
  </si>
  <si>
    <t>Bottom-line earnings</t>
  </si>
  <si>
    <t>Total Assets (₹ Cr)</t>
  </si>
  <si>
    <t>Capital base growth</t>
  </si>
  <si>
    <t>Method: Excel's FORECAST.ETS uses Triple Exponential Smoothing (Holt-Winters), auto-detects trend + seasonality from historical data. ±95% CI = Forecast.ETS.Confint.</t>
  </si>
  <si>
    <t>B. WEEKLY CASH FLOW FORECAST  —  Paste 26 weeks of bank-statement data → forecast next 13 weeks</t>
  </si>
  <si>
    <t xml:space="preserve">  B.1  SETUP PARAMETERS</t>
  </si>
  <si>
    <t>Forecast Origin Date (Wk 0 = last actual week):</t>
  </si>
  <si>
    <t>← edit to actual cutoff date</t>
  </si>
  <si>
    <t>Sanctioned CC/OD Limit (₹ Cr):</t>
  </si>
  <si>
    <t>← auto-pulled from BS row 11; override if sanctioned amount differs</t>
  </si>
  <si>
    <t>Minimum Cash Buffer (₹ Cr):</t>
  </si>
  <si>
    <t>← optional: minimum cash that must be retained (covenants/working capital)</t>
  </si>
  <si>
    <t>Opening Cash at Start of Wk -25 (₹ Cr):</t>
  </si>
  <si>
    <t>← auto-pulled from BS row 55 (cash); override if at start of forecast window</t>
  </si>
  <si>
    <t xml:space="preserve">  B.2  HISTORICAL WEEKLY DATA  (yellow cells: paste from bank statements)</t>
  </si>
  <si>
    <t>Wk #</t>
  </si>
  <si>
    <t>Week Ending</t>
  </si>
  <si>
    <t>Receipts (₹ Cr)</t>
  </si>
  <si>
    <t>Disbursements (₹ Cr)</t>
  </si>
  <si>
    <t>Net Flow</t>
  </si>
  <si>
    <t>Cumulative Cash</t>
  </si>
  <si>
    <t xml:space="preserve">  B.3  FORECASTED WEEKS  (Wk +1 to +13 — auto-computed via FORECAST.ETS)</t>
  </si>
  <si>
    <t>Helper</t>
  </si>
  <si>
    <t>+1</t>
  </si>
  <si>
    <t>+2</t>
  </si>
  <si>
    <t>+3</t>
  </si>
  <si>
    <t>+4</t>
  </si>
  <si>
    <t>+5</t>
  </si>
  <si>
    <t>+6</t>
  </si>
  <si>
    <t>+7</t>
  </si>
  <si>
    <t>+8</t>
  </si>
  <si>
    <t>+9</t>
  </si>
  <si>
    <t>+10</t>
  </si>
  <si>
    <t>+11</t>
  </si>
  <si>
    <t>+12</t>
  </si>
  <si>
    <t>+13</t>
  </si>
  <si>
    <t xml:space="preserve">  B.4  LIQUIDITY BREACH DETECTION</t>
  </si>
  <si>
    <t>First "Cash Negative" Week:</t>
  </si>
  <si>
    <t>First BANKABLE Breach (cash + CC limit &lt; 0):</t>
  </si>
  <si>
    <t>Minimum Projected Cash (across 13W):</t>
  </si>
  <si>
    <t>Note: FORECAST.ETS requires Microsoft Excel 2016+ (Windows) or Excel 365. If cells show "—" despite ≥4 yrs / ≥8 wks of data, your Excel build may not support FORECAST.ETS; use FORECAST.LINEAR as fallback (lacks seasonality detection but works in older Excel).</t>
  </si>
  <si>
    <t>C. FORECAST.ETS DIAGNOSTICS  —  Model quality + auto-detected seasonality</t>
  </si>
  <si>
    <t>Series</t>
  </si>
  <si>
    <t>Detected Seasonality</t>
  </si>
  <si>
    <t>Alpha (level)</t>
  </si>
  <si>
    <t>Beta (trend)</t>
  </si>
  <si>
    <t>Gamma (seasonal)</t>
  </si>
  <si>
    <t>MASE</t>
  </si>
  <si>
    <t>SMAPE</t>
  </si>
  <si>
    <t>MAE</t>
  </si>
  <si>
    <t>RMSE</t>
  </si>
  <si>
    <t>Quality Verdict</t>
  </si>
  <si>
    <t>Weekly Receipts</t>
  </si>
  <si>
    <t>Weekly Disbursements</t>
  </si>
  <si>
    <t>Annual Net Sales</t>
  </si>
  <si>
    <t>Annual EBITDA</t>
  </si>
  <si>
    <t>SMAPE = Symmetric Mean Absolute Percentage Error (lower is better). Seasonality: integer step count of detected cycle (e.g., 4 = weekly with monthly cycle). 0 or "none" = no seasonality detected, model defaults to trend-only.</t>
  </si>
  <si>
    <t>Cross-validation tip: FORECAST.LINEAR is the trend-only counterpart to FORECAST.ETS (no seasonality). If your FORECAST.ETS Yr+1 output differs materially from =FORECAST.LINEAR(LatestAudCol+1, values_range, ROW(INDIRECT("1:"&amp;LatestAudCol))), the difference reflects the seasonal component the model is detecting.</t>
  </si>
  <si>
    <t>D. LLM BRIDGE — Forecast Calibration &amp; Macroeconomic Overlay</t>
  </si>
  <si>
    <t>Run this prompt periodically to overlay macroeconomic forecasts onto the auto-detected trend (e.g., when central bank policy shift, sector slowdown, or commodity cycle is anticipated).</t>
  </si>
  <si>
    <t>System Role: Macroeconomic Strategist &amp; Quantitative Forecaster (Indian banking context).</t>
  </si>
  <si>
    <t>Context: I run an offline FORECAST.ETS engine on annual financial metrics for a corporate borrower. The engine auto-detects trend + seasonality but cannot account for forward-looking macro shocks.</t>
  </si>
  <si>
    <t>Task: Based on the latest CRISIL/ICRA/Fitch sector outlook + RBI Monetary Policy Statement (current quarter), provide a projection adjustment matrix for the next 24 months covering: (1) Expected nominal GDP growth, (2) Sector-specific revenue growth premium/discount vs GDP, (3) Margin compression/expansion expectation, (4) Working capital cycle normalization vs historical. Borrower sector: [SECTOR].</t>
  </si>
  <si>
    <t>Constraints: Output as a 2-column CSV (Variable, Adjustment_%) for the next 8 quarters. Use signed decimals (e.g., +0.02 for +2%, -0.05 for -5%). No code, no Python.</t>
  </si>
  <si>
    <t>After receiving output: apply adjustments multiplicatively to the FORECAST.ETS Yr+1 / Yr+2 outputs. Document the adjustment rationale in the credit memo.</t>
  </si>
  <si>
    <t>ALSO: For weekly cash flow forecast calibration during stressed conditions, use the seasonality output from Section C cell C69 (detected period). If seasonality = 0, the model is trend-only — manually overlay GST cycles (every 4-5 weeks for monthly GSTR-3B) and payroll cycles (typically Wk 1 of each month).</t>
  </si>
  <si>
    <t>Auto-generated 4-paragraph CAM. Synthesizes outputs from Modules 1 (Ohlson), 3 (Anomaly), 4 (Cascade), 2 (Forecast), and existing analytics. Edit highlighted sections only — narrative paragraphs are formula-driven.</t>
  </si>
  <si>
    <t xml:space="preserve">  EXECUTIVE SUMMARY  (3-line synopsis)</t>
  </si>
  <si>
    <t xml:space="preserve">  HEADLINE METRICS  (at-a-glance traffic-light dashboard)</t>
  </si>
  <si>
    <t>Ohlson Probability of Default</t>
  </si>
  <si>
    <t>Statistical Anomaly Master Verdict</t>
  </si>
  <si>
    <t>13-Week Liquidity Outlook</t>
  </si>
  <si>
    <t>EWS Aggregate Verdict</t>
  </si>
  <si>
    <t>ESG Score (out of 100)</t>
  </si>
  <si>
    <t xml:space="preserve">  ¶ 1.  OPERATIONAL PERFORMANCE &amp; REVENUE TRAJECTORY</t>
  </si>
  <si>
    <t>¶ 1.</t>
  </si>
  <si>
    <t xml:space="preserve">  ¶ 2.  LIQUIDITY, LEVERAGE &amp; CASH FLOW ADEQUACY</t>
  </si>
  <si>
    <t>¶ 2.</t>
  </si>
  <si>
    <t xml:space="preserve">  ¶ 3.  TRIGGERED ANOMALIES &amp; PROBABILISTIC RISK</t>
  </si>
  <si>
    <t>¶ 3.</t>
  </si>
  <si>
    <t xml:space="preserve">  ¶ 4.  STRESS RESILIENCE &amp; LENDING RECOMMENDATION</t>
  </si>
  <si>
    <t>¶ 4.</t>
  </si>
  <si>
    <t xml:space="preserve">  CONDITIONAL PRECEDENTS  (auto-derived from triggered states — copy into sanction letter)</t>
  </si>
  <si>
    <t>CP-1</t>
  </si>
  <si>
    <t>CP-2</t>
  </si>
  <si>
    <t>CP-3</t>
  </si>
  <si>
    <t>CP-4</t>
  </si>
  <si>
    <t>CP-5</t>
  </si>
  <si>
    <t>CP-6</t>
  </si>
  <si>
    <t>CP-7</t>
  </si>
  <si>
    <t>CP-8</t>
  </si>
  <si>
    <t xml:space="preserve">  SIGN-OFF &amp; APPROVAL CHAIN</t>
  </si>
  <si>
    <t>Prepared by</t>
  </si>
  <si>
    <t>_______________________________  (Name, Designation, Signature, Date)  |  Credit Analyst (Branch / Centralised Credit Team)</t>
  </si>
  <si>
    <t>Reviewed by</t>
  </si>
  <si>
    <t>_______________________________  (Name, Designation, Signature, Date)  |  Credit Manager / Branch Head</t>
  </si>
  <si>
    <t>Recommended by</t>
  </si>
  <si>
    <t>_______________________________  (Name, Designation, Signature, Date)  |  Zonal Credit Officer</t>
  </si>
  <si>
    <t>Sanctioned by</t>
  </si>
  <si>
    <t>_______________________________  (Name, Designation, Signature, Date)  |  As per delegated lending authority matrix (Branch / Region / HO Credit Committee)</t>
  </si>
  <si>
    <t>Memo Date</t>
  </si>
  <si>
    <t xml:space="preserve">  AUDIT TRAIL  (data sources for each paragraph — for quality assurance)</t>
  </si>
  <si>
    <t>¶ 1 sources</t>
  </si>
  <si>
    <t>2_Operating_Statement (rows 13, 33, 58); 21_Forecasting_Engine (Forecast_Sales_Yr1)</t>
  </si>
  <si>
    <t>¶ 2 sources</t>
  </si>
  <si>
    <t>3_Balance_Sheet (rows 27, 40, 52, 82); 4_DSCR (row 19); 21_Forecasting_Engine (Liquidity_Breach_Week, Bankable_Breach_Week)</t>
  </si>
  <si>
    <t>¶ 3 sources</t>
  </si>
  <si>
    <t>19_Ohlson_O_Score (Ohlson_PD_Latest, Ohlson_Class_Latest, marginal contribution); 20_Anomaly_Detection (Benford, RollingZ, Beneish, Master); 17_Advanced_EWS (Total points, High count); 12_Red_Flags (test count)</t>
  </si>
  <si>
    <t>¶ 4 sources</t>
  </si>
  <si>
    <t>15_Stress_Test (Cascade_DSCR, Cascade_Verdict, Cascade_Breakpoint); 10_Credit_Limits (ChapterXIA_Status); 16_ESG_Scorecard (ESG_TotalScore)</t>
  </si>
  <si>
    <t>Decision rule</t>
  </si>
  <si>
    <t>Final recommendation = nested IF on (Ohlson_PD, Anomaly_Master, Cascade_DSCR, Bankable_Breach, EWS_Verdict)</t>
  </si>
  <si>
    <t xml:space="preserve">  LLM BRIDGE — External Polish &amp; Format Refinement</t>
  </si>
  <si>
    <t>Once the offline memo is finalized, copy paragraphs 1-4 into an external LLM with the following prompt:</t>
  </si>
  <si>
    <t>PROMPT TO USE EXTERNALLY:</t>
  </si>
  <si>
    <t>System Role: Chief Credit Officer and Executive Underwriter at an Indian Scheduled Commercial Bank.</t>
  </si>
  <si>
    <t>Context: Below is an auto-generated 4-paragraph Credit Justification Memorandum from an offline analytics tool. The numerical content is final; only refinement of language, narrative flow, and executive-committee tone is sought.</t>
  </si>
  <si>
    <t>Task: (1) Improve sentence flow and remove redundant connective tissue between paragraphs. (2) Elevate language to executive-committee register. (3) Ensure every quantitative claim from the original is preserved exactly. (4) Add a 2-sentence opening "Indicative Terms" preamble identifying facility type, tenor, pricing, and security.</t>
  </si>
  <si>
    <t>Constraints: Do NOT introduce new numerical claims. Do NOT alter the recommendation. Do NOT remove any conditional precedent. Output as plain prose, four paragraphs, no headers.</t>
  </si>
  <si>
    <t>After receiving output: review for fidelity to source numerics, then paste into final sanction memo. Original auto-generated version should be retained in the file as evidence of analytical basis.</t>
  </si>
  <si>
    <t>✓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</si>
</sst>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dd\-mmm\-yyyy"/>
    <numFmt numFmtId="165" formatCode="0.0"/>
    <numFmt numFmtId="166" formatCode="#,##0.00;\(#,##0.00\);\-"/>
    <numFmt numFmtId="167" formatCode="0.0%;\(0.0%\);\-"/>
    <numFmt numFmtId="168" formatCode="0.00\x;\(0.00&quot;x)&quot;;\-"/>
    <numFmt numFmtId="169" formatCode="0.0%"/>
    <numFmt numFmtId="170" formatCode="0.00\x"/>
    <numFmt numFmtId="171" formatCode="0;\(0\);\-"/>
    <numFmt numFmtId="172" formatCode="0.00\x;\(0.00&quot;)x&quot;;\-"/>
    <numFmt numFmtId="173" formatCode="0.000"/>
    <numFmt numFmtId="174" formatCode="0;\-0;\—"/>
    <numFmt numFmtId="175" formatCode="#,##0.00;\(#,##0.00\)"/>
    <numFmt numFmtId="176" formatCode="#,##0.00;\-"/>
    <numFmt numFmtId="177" formatCode="0.0000"/>
    <numFmt numFmtId="178" formatCode="0.0000;\(0.0000\);\-"/>
    <numFmt numFmtId="179" formatCode="0.00;\(0.00\);\-"/>
    <numFmt numFmtId="180" formatCode="\±#,##0"/>
    <numFmt numFmtId="181" formatCode="\+0.0%;\-0.0%;\-"/>
    <numFmt numFmtId="182" formatCode="yyyy\-mm\-dd"/>
    <numFmt numFmtId="183" formatCode="#,##0;\(#,##0\);\-"/>
  </numFmts>
  <fonts count="76" x14ac:knownFonts="1">
    <font>
      <sz val="11"/>
      <color theme="1"/>
      <name val="Calibri"/>
      <family val="2"/>
      <charset val="1"/>
    </font>
    <font>
      <b/>
      <sz val="13"/>
      <color rgb="FFFFFFFF"/>
      <name val="Arial"/>
      <charset val="1"/>
    </font>
    <font>
      <b/>
      <sz val="11"/>
      <color rgb="FFFFFFFF"/>
      <name val="Arial"/>
      <charset val="1"/>
    </font>
    <font>
      <sz val="9"/>
      <color rgb="FFFFFFFF"/>
      <name val="Arial"/>
      <charset val="1"/>
    </font>
    <font>
      <b/>
      <sz val="10"/>
      <color rgb="FFFFFFFF"/>
      <name val="Arial"/>
      <charset val="1"/>
    </font>
    <font>
      <b/>
      <sz val="9"/>
      <color rgb="FFFFFFFF"/>
      <name val="Arial"/>
      <charset val="1"/>
    </font>
    <font>
      <sz val="10"/>
      <color rgb="FF000000"/>
      <name val="Arial"/>
      <charset val="1"/>
    </font>
    <font>
      <sz val="10"/>
      <color rgb="FF006100"/>
      <name val="Arial"/>
      <charset val="1"/>
    </font>
    <font>
      <i/>
      <sz val="9"/>
      <color rgb="FF595959"/>
      <name val="Arial"/>
      <charset val="1"/>
    </font>
    <font>
      <b/>
      <sz val="10"/>
      <color rgb="FF000000"/>
      <name val="Arial"/>
      <charset val="1"/>
    </font>
    <font>
      <sz val="9"/>
      <color rgb="FF595959"/>
      <name val="Arial"/>
      <charset val="1"/>
    </font>
    <font>
      <b/>
      <sz val="11"/>
      <color rgb="FF000000"/>
      <name val="Arial"/>
      <charset val="1"/>
    </font>
    <font>
      <b/>
      <sz val="12"/>
      <color rgb="FF000000"/>
      <name val="Arial"/>
      <charset val="1"/>
    </font>
    <font>
      <b/>
      <sz val="9"/>
      <color rgb="FF595959"/>
      <name val="Arial"/>
      <charset val="1"/>
    </font>
    <font>
      <b/>
      <sz val="14"/>
      <color rgb="FF2E75B6"/>
      <name val="Arial"/>
      <charset val="1"/>
    </font>
    <font>
      <sz val="9"/>
      <color rgb="FF375623"/>
      <name val="Arial"/>
      <charset val="1"/>
    </font>
    <font>
      <sz val="9"/>
      <color rgb="FFC00000"/>
      <name val="Arial"/>
      <charset val="1"/>
    </font>
    <font>
      <sz val="9"/>
      <color rgb="FF000000"/>
      <name val="Arial"/>
      <charset val="1"/>
    </font>
    <font>
      <b/>
      <sz val="9"/>
      <color rgb="FF000000"/>
      <name val="Arial"/>
      <charset val="1"/>
    </font>
    <font>
      <sz val="10"/>
      <name val="Arial"/>
      <charset val="1"/>
    </font>
    <font>
      <b/>
      <sz val="10"/>
      <name val="Arial"/>
      <charset val="1"/>
    </font>
    <font>
      <sz val="10"/>
      <color rgb="FFFFFFFF"/>
      <name val="Arial"/>
      <charset val="1"/>
    </font>
    <font>
      <sz val="10"/>
      <color rgb="FF2E75B6"/>
      <name val="Arial"/>
      <charset val="1"/>
    </font>
    <font>
      <sz val="11"/>
      <color rgb="FF375623"/>
      <name val="Arial"/>
      <charset val="1"/>
    </font>
    <font>
      <sz val="11"/>
      <color rgb="FF0000FF"/>
      <name val="Arial"/>
      <charset val="1"/>
    </font>
    <font>
      <sz val="11"/>
      <color rgb="FF000000"/>
      <name val="Arial"/>
      <charset val="1"/>
    </font>
    <font>
      <b/>
      <sz val="11"/>
      <color rgb="FF1F3864"/>
      <name val="Arial"/>
      <charset val="1"/>
    </font>
    <font>
      <sz val="12"/>
      <color rgb="FF000000"/>
      <name val="Arial"/>
      <charset val="1"/>
    </font>
    <font>
      <b/>
      <sz val="16"/>
      <color rgb="FF1F3864"/>
      <name val="Arial"/>
      <charset val="1"/>
    </font>
    <font>
      <b/>
      <sz val="12"/>
      <color rgb="FF1F3864"/>
      <name val="Arial"/>
      <charset val="1"/>
    </font>
    <font>
      <i/>
      <sz val="8"/>
      <color rgb="FF595959"/>
      <name val="Arial"/>
      <charset val="1"/>
    </font>
    <font>
      <b/>
      <sz val="14"/>
      <color rgb="FFFFFFFF"/>
      <name val="Calibri"/>
      <charset val="1"/>
    </font>
    <font>
      <i/>
      <sz val="9"/>
      <color rgb="FF595959"/>
      <name val="Calibri"/>
      <charset val="1"/>
    </font>
    <font>
      <b/>
      <sz val="12"/>
      <color rgb="FFFFFFFF"/>
      <name val="Calibri"/>
      <charset val="1"/>
    </font>
    <font>
      <b/>
      <sz val="10"/>
      <name val="Calibri"/>
      <charset val="1"/>
    </font>
    <font>
      <sz val="10"/>
      <color rgb="FF0000FF"/>
      <name val="Calibri"/>
      <charset val="1"/>
    </font>
    <font>
      <b/>
      <sz val="10"/>
      <color rgb="FF1F3864"/>
      <name val="Calibri"/>
      <charset val="1"/>
    </font>
    <font>
      <sz val="10"/>
      <name val="Calibri"/>
      <charset val="1"/>
    </font>
    <font>
      <sz val="10"/>
      <color rgb="FF008000"/>
      <name val="Calibri"/>
      <charset val="1"/>
    </font>
    <font>
      <b/>
      <sz val="10"/>
      <color rgb="FF0000FF"/>
      <name val="Arial"/>
      <charset val="1"/>
    </font>
    <font>
      <sz val="10"/>
      <color rgb="FF0000FF"/>
      <name val="Arial"/>
      <charset val="1"/>
    </font>
    <font>
      <b/>
      <sz val="10"/>
      <color rgb="FF375623"/>
      <name val="Arial"/>
      <charset val="1"/>
    </font>
    <font>
      <b/>
      <sz val="11"/>
      <color rgb="FF1F3864"/>
      <name val="Calibri"/>
      <charset val="1"/>
    </font>
    <font>
      <b/>
      <sz val="10"/>
      <color rgb="FFFFFFFF"/>
      <name val="Calibri"/>
      <charset val="1"/>
    </font>
    <font>
      <b/>
      <sz val="11"/>
      <color rgb="FFFFFFFF"/>
      <name val="Calibri"/>
      <charset val="1"/>
    </font>
    <font>
      <b/>
      <sz val="10"/>
      <color rgb="FF375623"/>
      <name val="Calibri"/>
      <charset val="1"/>
    </font>
    <font>
      <sz val="10"/>
      <color rgb="FF375623"/>
      <name val="Arial"/>
      <charset val="1"/>
    </font>
    <font>
      <b/>
      <sz val="10"/>
      <color rgb="FF595959"/>
      <name val="Arial"/>
      <charset val="1"/>
    </font>
    <font>
      <b/>
      <sz val="12"/>
      <color rgb="FFC00000"/>
      <name val="Arial"/>
      <charset val="1"/>
    </font>
    <font>
      <b/>
      <sz val="12"/>
      <color rgb="FF375623"/>
      <name val="Arial"/>
      <charset val="1"/>
    </font>
    <font>
      <b/>
      <sz val="12"/>
      <color rgb="FFFFFFFF"/>
      <name val="Arial"/>
      <charset val="1"/>
    </font>
    <font>
      <sz val="9"/>
      <color rgb="FF4A235A"/>
      <name val="Arial"/>
      <charset val="1"/>
    </font>
    <font>
      <b/>
      <sz val="14"/>
      <color rgb="FFC00000"/>
      <name val="Arial"/>
      <charset val="1"/>
    </font>
    <font>
      <b/>
      <sz val="14"/>
      <color rgb="FF375623"/>
      <name val="Arial"/>
      <charset val="1"/>
    </font>
    <font>
      <sz val="11"/>
      <color rgb="FFC00000"/>
      <name val="Arial"/>
      <charset val="1"/>
    </font>
    <font>
      <sz val="9"/>
      <name val="Arial"/>
      <charset val="1"/>
    </font>
    <font>
      <b/>
      <sz val="11"/>
      <name val="Arial"/>
      <charset val="1"/>
    </font>
    <font>
      <i/>
      <sz val="10"/>
      <name val="Arial"/>
      <charset val="1"/>
    </font>
    <font>
      <b/>
      <sz val="10"/>
      <color rgb="FF385723"/>
      <name val="Arial"/>
      <charset val="1"/>
    </font>
    <font>
      <b/>
      <sz val="11"/>
      <color rgb="FF0000FF"/>
      <name val="Arial"/>
      <charset val="1"/>
    </font>
    <font>
      <b/>
      <sz val="10"/>
      <color rgb="FF1F3864"/>
      <name val="Arial"/>
      <charset val="1"/>
    </font>
    <font>
      <b/>
      <sz val="10"/>
      <color rgb="FF7F6000"/>
      <name val="Arial"/>
      <charset val="1"/>
    </font>
    <font>
      <b/>
      <sz val="11"/>
      <color rgb="FF385723"/>
      <name val="Arial"/>
      <charset val="1"/>
    </font>
    <font>
      <b/>
      <sz val="11"/>
      <color rgb="FF7F6000"/>
      <name val="Arial"/>
      <charset val="1"/>
    </font>
    <font>
      <b/>
      <sz val="18"/>
      <color rgb="FF1F3864"/>
      <name val="Arial"/>
      <charset val="1"/>
    </font>
    <font>
      <b/>
      <sz val="14"/>
      <color rgb="FF000000"/>
      <name val="Arial"/>
      <charset val="1"/>
    </font>
    <font>
      <b/>
      <sz val="10"/>
      <color rgb="FFC00000"/>
      <name val="Arial"/>
      <charset val="1"/>
    </font>
    <font>
      <b/>
      <sz val="11"/>
      <color rgb="FF375623"/>
      <name val="Arial"/>
      <charset val="1"/>
    </font>
    <font>
      <b/>
      <sz val="10"/>
      <color rgb="FFB66B0E"/>
      <name val="Arial"/>
      <charset val="1"/>
    </font>
    <font>
      <b/>
      <sz val="14"/>
      <color rgb="FFB66B0E"/>
      <name val="Arial"/>
      <charset val="1"/>
    </font>
    <font>
      <b/>
      <sz val="14"/>
      <color rgb="FF1F3864"/>
      <name val="Arial"/>
      <charset val="1"/>
    </font>
    <font>
      <b/>
      <sz val="10"/>
      <color rgb="FF006100"/>
      <name val="Arial"/>
      <charset val="1"/>
    </font>
    <font>
      <i/>
      <sz val="9"/>
      <name val="Arial"/>
      <charset val="1"/>
    </font>
    <font>
      <sz val="10"/>
      <color rgb="FF008000"/>
      <name val="Arial"/>
      <charset val="1"/>
    </font>
    <font>
      <b/>
      <sz val="9"/>
      <name val="Arial"/>
      <charset val="1"/>
    </font>
    <font>
      <i/>
      <sz val="9"/>
      <color rgb="FFC00000"/>
      <name val="Arial"/>
      <charset val="1"/>
    </font>
  </fonts>
  <fills count="25">
    <fill>
      <patternFill patternType="none"/>
    </fill>
    <fill>
      <patternFill patternType="gray125"/>
    </fill>
    <fill>
      <patternFill patternType="solid">
        <fgColor rgb="FF1F3864"/>
        <bgColor rgb="FF1F4E78"/>
      </patternFill>
    </fill>
    <fill>
      <patternFill patternType="solid">
        <fgColor rgb="FF2E75B6"/>
        <bgColor rgb="FF0070C0"/>
      </patternFill>
    </fill>
    <fill>
      <patternFill patternType="solid">
        <fgColor rgb="FFF2F2F2"/>
        <bgColor rgb="FFFFE7E7"/>
      </patternFill>
    </fill>
    <fill>
      <patternFill patternType="solid">
        <fgColor rgb="FFFFFFFF"/>
        <bgColor rgb="FFF2F2F2"/>
      </patternFill>
    </fill>
    <fill>
      <patternFill patternType="solid">
        <fgColor rgb="FFFFF2CC"/>
        <bgColor rgb="FFFCE4D6"/>
      </patternFill>
    </fill>
    <fill>
      <patternFill patternType="solid">
        <fgColor rgb="FFBDD7EE"/>
        <bgColor rgb="FFD9E1F2"/>
      </patternFill>
    </fill>
    <fill>
      <patternFill patternType="solid">
        <fgColor rgb="FF375623"/>
        <bgColor rgb="FF385723"/>
      </patternFill>
    </fill>
    <fill>
      <patternFill patternType="solid">
        <fgColor rgb="FFC00000"/>
        <bgColor rgb="FF9C0006"/>
      </patternFill>
    </fill>
    <fill>
      <patternFill patternType="solid">
        <fgColor rgb="FFE2EFDA"/>
        <bgColor rgb="FFE7E6E6"/>
      </patternFill>
    </fill>
    <fill>
      <patternFill patternType="solid">
        <fgColor rgb="FFFFE7E7"/>
        <bgColor rgb="FFFCE4D6"/>
      </patternFill>
    </fill>
    <fill>
      <patternFill patternType="solid">
        <fgColor rgb="FF0070C0"/>
        <bgColor rgb="FF2E75B6"/>
      </patternFill>
    </fill>
    <fill>
      <patternFill patternType="solid">
        <fgColor rgb="FFD9E1F2"/>
        <bgColor rgb="FFDAE8FC"/>
      </patternFill>
    </fill>
    <fill>
      <patternFill patternType="solid">
        <fgColor rgb="FF595959"/>
        <bgColor rgb="FF385723"/>
      </patternFill>
    </fill>
    <fill>
      <patternFill patternType="solid">
        <fgColor rgb="FFF8CBAD"/>
        <bgColor rgb="FFFFE699"/>
      </patternFill>
    </fill>
    <fill>
      <patternFill patternType="solid">
        <fgColor rgb="FFC6E0B4"/>
        <bgColor rgb="FFD5E8D4"/>
      </patternFill>
    </fill>
    <fill>
      <patternFill patternType="solid">
        <fgColor rgb="FFFFE699"/>
        <bgColor rgb="FFFFEB9C"/>
      </patternFill>
    </fill>
    <fill>
      <patternFill patternType="solid">
        <fgColor rgb="FF305496"/>
        <bgColor rgb="FF1F4E78"/>
      </patternFill>
    </fill>
    <fill>
      <patternFill patternType="solid">
        <fgColor rgb="FFE7E6E6"/>
        <bgColor rgb="FFE2EFDA"/>
      </patternFill>
    </fill>
    <fill>
      <patternFill patternType="solid">
        <fgColor rgb="FFD5E8D4"/>
        <bgColor rgb="FFE2EFDA"/>
      </patternFill>
    </fill>
    <fill>
      <patternFill patternType="solid">
        <fgColor rgb="FFDAE8FC"/>
        <bgColor rgb="FFD9E1F2"/>
      </patternFill>
    </fill>
    <fill>
      <patternFill patternType="solid">
        <fgColor rgb="FFFCE4D6"/>
        <bgColor rgb="FFFFE7E7"/>
      </patternFill>
    </fill>
    <fill>
      <patternFill patternType="solid">
        <fgColor rgb="FF1F4E78"/>
        <bgColor rgb="FF305496"/>
      </patternFill>
    </fill>
    <fill>
      <patternFill patternType="solid">
        <fgColor rgb="FFFFEB9C"/>
        <bgColor rgb="FFFFE69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52">
    <xf numFmtId="0" fontId="0" fillId="0" borderId="0" xfId="0"/>
    <xf numFmtId="0" fontId="2" fillId="9" borderId="0" xfId="0" applyFont="1" applyFill="1" applyAlignment="1">
      <alignment horizontal="left" vertical="center"/>
    </xf>
    <xf numFmtId="0" fontId="0" fillId="0" borderId="0" xfId="0"/>
    <xf numFmtId="0" fontId="4" fillId="9" borderId="0" xfId="0" applyFont="1" applyFill="1" applyAlignment="1">
      <alignment horizontal="left" vertical="center"/>
    </xf>
    <xf numFmtId="0" fontId="4" fillId="8" borderId="0" xfId="0" applyFont="1" applyFill="1" applyAlignment="1">
      <alignment horizontal="left" vertical="center"/>
    </xf>
    <xf numFmtId="165" fontId="14" fillId="7" borderId="0" xfId="0" applyNumberFormat="1" applyFont="1" applyFill="1" applyAlignment="1">
      <alignment horizontal="center" vertical="center"/>
    </xf>
    <xf numFmtId="0" fontId="13" fillId="4" borderId="0" xfId="0" applyFont="1" applyFill="1" applyAlignment="1">
      <alignment horizontal="left" vertical="center"/>
    </xf>
    <xf numFmtId="0" fontId="11" fillId="6" borderId="0" xfId="0" applyFont="1" applyFill="1" applyAlignment="1">
      <alignment horizontal="left" vertical="center" wrapText="1"/>
    </xf>
    <xf numFmtId="0" fontId="4" fillId="2" borderId="0" xfId="0" applyFont="1" applyFill="1" applyAlignment="1">
      <alignment horizontal="left" vertical="center"/>
    </xf>
    <xf numFmtId="0" fontId="4" fillId="3" borderId="0" xfId="0" applyFont="1" applyFill="1" applyAlignment="1">
      <alignment horizontal="left" vertical="center"/>
    </xf>
    <xf numFmtId="0" fontId="0" fillId="2" borderId="0" xfId="0" applyFill="1"/>
    <xf numFmtId="164" fontId="3" fillId="3" borderId="0" xfId="0" applyNumberFormat="1" applyFont="1" applyFill="1" applyAlignment="1">
      <alignment horizontal="right" vertical="center"/>
    </xf>
    <xf numFmtId="0" fontId="3" fillId="3" borderId="0" xfId="0" applyFont="1" applyFill="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center" vertical="center"/>
    </xf>
    <xf numFmtId="0" fontId="2" fillId="3" borderId="0" xfId="0" applyFont="1" applyFill="1" applyAlignment="1">
      <alignment horizontal="left" vertical="center"/>
    </xf>
    <xf numFmtId="0" fontId="0" fillId="2" borderId="0" xfId="0" applyFill="1"/>
    <xf numFmtId="0" fontId="5" fillId="2" borderId="0" xfId="0" applyFont="1" applyFill="1" applyAlignment="1">
      <alignment horizontal="center" vertical="center"/>
    </xf>
    <xf numFmtId="0" fontId="5" fillId="2" borderId="0" xfId="0" applyFont="1" applyFill="1" applyAlignment="1">
      <alignment horizontal="left" vertical="center"/>
    </xf>
    <xf numFmtId="0" fontId="6" fillId="4" borderId="0" xfId="0" applyFont="1" applyFill="1" applyAlignment="1">
      <alignment horizontal="left" vertical="center"/>
    </xf>
    <xf numFmtId="4" fontId="7" fillId="5" borderId="0" xfId="0" applyNumberFormat="1" applyFont="1" applyFill="1" applyAlignment="1">
      <alignment horizontal="center" vertical="center"/>
    </xf>
    <xf numFmtId="0" fontId="8" fillId="4" borderId="0" xfId="0" applyFont="1" applyFill="1" applyAlignment="1">
      <alignment horizontal="center" vertical="center"/>
    </xf>
    <xf numFmtId="0" fontId="9" fillId="5" borderId="0" xfId="0" applyFont="1" applyFill="1" applyAlignment="1">
      <alignment horizontal="center" vertical="center"/>
    </xf>
    <xf numFmtId="0" fontId="10" fillId="4" borderId="0" xfId="0" applyFont="1" applyFill="1" applyAlignment="1">
      <alignment horizontal="left" vertical="center" wrapText="1"/>
    </xf>
    <xf numFmtId="0" fontId="4" fillId="2" borderId="0" xfId="0" applyFont="1" applyFill="1" applyAlignment="1">
      <alignment horizontal="left" vertical="center"/>
    </xf>
    <xf numFmtId="0" fontId="5" fillId="3" borderId="0" xfId="0" applyFont="1" applyFill="1" applyAlignment="1">
      <alignment horizontal="center" vertical="center"/>
    </xf>
    <xf numFmtId="2" fontId="12" fillId="7" borderId="0" xfId="0" applyNumberFormat="1" applyFont="1" applyFill="1" applyAlignment="1">
      <alignment horizontal="center" vertical="center"/>
    </xf>
    <xf numFmtId="0" fontId="12" fillId="7" borderId="0" xfId="0" applyFont="1" applyFill="1" applyAlignment="1">
      <alignment horizontal="center" vertical="center"/>
    </xf>
    <xf numFmtId="0" fontId="15" fillId="10" borderId="0" xfId="0" applyFont="1" applyFill="1" applyAlignment="1">
      <alignment horizontal="left" vertical="center" wrapText="1"/>
    </xf>
    <xf numFmtId="0" fontId="16" fillId="11" borderId="0" xfId="0" applyFont="1" applyFill="1" applyAlignment="1">
      <alignment horizontal="left" vertical="center" wrapText="1"/>
    </xf>
    <xf numFmtId="0" fontId="9" fillId="4" borderId="0" xfId="0" applyFont="1" applyFill="1" applyAlignment="1">
      <alignment horizontal="left" vertical="center" wrapText="1"/>
    </xf>
    <xf numFmtId="0" fontId="9" fillId="5" borderId="0" xfId="0" applyFont="1" applyFill="1" applyAlignment="1">
      <alignment horizontal="center" vertical="center" wrapText="1"/>
    </xf>
    <xf numFmtId="0" fontId="17" fillId="5" borderId="0" xfId="0" applyFont="1" applyFill="1" applyAlignment="1">
      <alignment horizontal="left" vertical="center" wrapText="1"/>
    </xf>
    <xf numFmtId="0" fontId="19" fillId="0" borderId="0" xfId="0" applyFont="1"/>
    <xf numFmtId="0" fontId="6" fillId="0" borderId="0" xfId="0" applyFont="1" applyAlignment="1">
      <alignment horizontal="center"/>
    </xf>
    <xf numFmtId="0" fontId="6" fillId="0" borderId="0" xfId="0" applyFont="1" applyAlignment="1">
      <alignment vertical="top" wrapText="1"/>
    </xf>
    <xf numFmtId="0" fontId="6" fillId="0" borderId="0" xfId="0" applyFont="1" applyAlignment="1">
      <alignment horizontal="center" wrapText="1"/>
    </xf>
    <xf numFmtId="0" fontId="20" fillId="0" borderId="0" xfId="0" applyFont="1" applyAlignment="1">
      <alignment vertical="center" wrapText="1"/>
    </xf>
    <xf numFmtId="0" fontId="9" fillId="4" borderId="0" xfId="0" applyFont="1" applyFill="1" applyAlignment="1">
      <alignment horizontal="left" vertical="center"/>
    </xf>
    <xf numFmtId="9" fontId="22" fillId="7" borderId="0" xfId="0" applyNumberFormat="1" applyFont="1" applyFill="1" applyAlignment="1">
      <alignment horizontal="center" vertical="center"/>
    </xf>
    <xf numFmtId="165" fontId="23" fillId="10" borderId="0" xfId="0" applyNumberFormat="1" applyFont="1" applyFill="1" applyAlignment="1">
      <alignment horizontal="center" vertical="center"/>
    </xf>
    <xf numFmtId="0" fontId="24" fillId="6" borderId="0" xfId="0" applyFont="1" applyFill="1" applyAlignment="1">
      <alignment horizontal="center" vertical="center"/>
    </xf>
    <xf numFmtId="165" fontId="25" fillId="5" borderId="0" xfId="0" applyNumberFormat="1" applyFont="1" applyFill="1" applyAlignment="1">
      <alignment horizontal="center" vertical="center"/>
    </xf>
    <xf numFmtId="2" fontId="26" fillId="7" borderId="0" xfId="0" applyNumberFormat="1" applyFont="1" applyFill="1" applyAlignment="1">
      <alignment horizontal="center" vertical="center"/>
    </xf>
    <xf numFmtId="0" fontId="13" fillId="4" borderId="0" xfId="0" applyFont="1" applyFill="1" applyAlignment="1">
      <alignment horizontal="center" vertical="center"/>
    </xf>
    <xf numFmtId="9" fontId="27" fillId="5" borderId="0" xfId="0" applyNumberFormat="1" applyFont="1" applyFill="1" applyAlignment="1">
      <alignment horizontal="center" vertical="center"/>
    </xf>
    <xf numFmtId="165" fontId="28" fillId="7" borderId="0" xfId="0" applyNumberFormat="1" applyFont="1" applyFill="1" applyAlignment="1">
      <alignment horizontal="center" vertical="center"/>
    </xf>
    <xf numFmtId="0" fontId="29" fillId="7" borderId="0" xfId="0" applyFont="1" applyFill="1" applyAlignment="1">
      <alignment horizontal="center" vertical="center"/>
    </xf>
    <xf numFmtId="0" fontId="30" fillId="4" borderId="0" xfId="0" applyFont="1" applyFill="1" applyAlignment="1">
      <alignment horizontal="left" vertical="center" wrapText="1"/>
    </xf>
    <xf numFmtId="0" fontId="34" fillId="0" borderId="0" xfId="0" applyFont="1"/>
    <xf numFmtId="0" fontId="0" fillId="0" borderId="0" xfId="0" applyAlignment="1">
      <alignment horizontal="center"/>
    </xf>
    <xf numFmtId="0" fontId="35" fillId="6" borderId="1" xfId="0" applyFont="1" applyFill="1" applyBorder="1"/>
    <xf numFmtId="0" fontId="32" fillId="0" borderId="0" xfId="0" applyFont="1"/>
    <xf numFmtId="0" fontId="36" fillId="13" borderId="1" xfId="0" applyFont="1" applyFill="1" applyBorder="1"/>
    <xf numFmtId="0" fontId="37" fillId="0" borderId="1" xfId="0" applyFont="1" applyBorder="1"/>
    <xf numFmtId="166" fontId="35" fillId="6" borderId="1" xfId="0" applyNumberFormat="1" applyFont="1" applyFill="1" applyBorder="1"/>
    <xf numFmtId="0" fontId="32" fillId="0" borderId="0" xfId="0" applyFont="1" applyAlignment="1">
      <alignment horizontal="right"/>
    </xf>
    <xf numFmtId="0" fontId="37" fillId="0" borderId="0" xfId="0" applyFont="1"/>
    <xf numFmtId="2" fontId="35" fillId="6" borderId="1" xfId="0" applyNumberFormat="1" applyFont="1" applyFill="1" applyBorder="1"/>
    <xf numFmtId="167" fontId="35" fillId="6" borderId="1" xfId="0" applyNumberFormat="1" applyFont="1" applyFill="1" applyBorder="1"/>
    <xf numFmtId="168" fontId="35" fillId="6" borderId="1" xfId="0" applyNumberFormat="1" applyFont="1" applyFill="1" applyBorder="1"/>
    <xf numFmtId="1" fontId="38" fillId="0" borderId="0" xfId="0" applyNumberFormat="1" applyFont="1"/>
    <xf numFmtId="0" fontId="34" fillId="4" borderId="1" xfId="0" applyFont="1" applyFill="1" applyBorder="1" applyAlignment="1">
      <alignment horizontal="center"/>
    </xf>
    <xf numFmtId="0" fontId="37" fillId="0" borderId="1" xfId="0" applyFont="1" applyBorder="1" applyAlignment="1">
      <alignment horizontal="center"/>
    </xf>
    <xf numFmtId="0" fontId="38" fillId="0" borderId="1" xfId="0" applyFont="1" applyBorder="1" applyAlignment="1">
      <alignment horizontal="center"/>
    </xf>
    <xf numFmtId="0" fontId="0" fillId="6" borderId="1" xfId="0" applyFill="1" applyBorder="1"/>
    <xf numFmtId="0" fontId="0" fillId="5" borderId="1" xfId="0" applyFill="1" applyBorder="1"/>
    <xf numFmtId="0" fontId="0" fillId="15" borderId="1" xfId="0" applyFill="1" applyBorder="1"/>
    <xf numFmtId="0" fontId="0" fillId="16" borderId="1" xfId="0" applyFill="1" applyBorder="1"/>
    <xf numFmtId="0" fontId="0" fillId="17" borderId="1" xfId="0" applyFill="1" applyBorder="1"/>
    <xf numFmtId="0" fontId="6" fillId="0" borderId="0" xfId="0" applyFont="1" applyAlignment="1">
      <alignment horizontal="left" vertical="center"/>
    </xf>
    <xf numFmtId="0" fontId="6" fillId="0" borderId="0" xfId="0" applyFont="1" applyAlignment="1">
      <alignment horizontal="center" vertical="center"/>
    </xf>
    <xf numFmtId="0" fontId="39" fillId="6" borderId="0" xfId="0" applyFont="1" applyFill="1" applyAlignment="1">
      <alignment horizontal="center" vertical="center"/>
    </xf>
    <xf numFmtId="0" fontId="8" fillId="0" borderId="0" xfId="0" applyFont="1" applyAlignment="1">
      <alignment horizontal="left" vertical="center"/>
    </xf>
    <xf numFmtId="4" fontId="40" fillId="6" borderId="0" xfId="0" applyNumberFormat="1" applyFont="1" applyFill="1" applyAlignment="1">
      <alignment horizontal="center" vertical="center"/>
    </xf>
    <xf numFmtId="0" fontId="41" fillId="10" borderId="0" xfId="0" applyFont="1" applyFill="1" applyAlignment="1">
      <alignment horizontal="center" vertical="center"/>
    </xf>
    <xf numFmtId="0" fontId="42" fillId="13" borderId="0" xfId="0" applyFont="1" applyFill="1"/>
    <xf numFmtId="0" fontId="37" fillId="0" borderId="0" xfId="0" applyFont="1" applyAlignment="1">
      <alignment horizontal="left" vertical="top"/>
    </xf>
    <xf numFmtId="0" fontId="34" fillId="0" borderId="0" xfId="0" applyFont="1" applyAlignment="1">
      <alignment horizontal="left" vertical="top"/>
    </xf>
    <xf numFmtId="0" fontId="43" fillId="2" borderId="1" xfId="0" applyFont="1" applyFill="1" applyBorder="1" applyAlignment="1">
      <alignment horizontal="center" vertical="center"/>
    </xf>
    <xf numFmtId="0" fontId="43" fillId="2" borderId="1" xfId="0" applyFont="1" applyFill="1" applyBorder="1" applyAlignment="1">
      <alignment horizontal="center"/>
    </xf>
    <xf numFmtId="0" fontId="43" fillId="2" borderId="1" xfId="0" applyFont="1" applyFill="1" applyBorder="1" applyAlignment="1">
      <alignment horizontal="center" wrapText="1"/>
    </xf>
    <xf numFmtId="0" fontId="36" fillId="13" borderId="0" xfId="0" applyFont="1" applyFill="1" applyAlignment="1">
      <alignment horizontal="right"/>
    </xf>
    <xf numFmtId="0" fontId="36" fillId="13" borderId="1" xfId="0" applyFont="1" applyFill="1" applyBorder="1" applyAlignment="1">
      <alignment horizontal="center"/>
    </xf>
    <xf numFmtId="0" fontId="32" fillId="13" borderId="0" xfId="0" applyFont="1" applyFill="1" applyAlignment="1">
      <alignment horizontal="right"/>
    </xf>
    <xf numFmtId="0" fontId="32" fillId="13" borderId="1" xfId="0" applyFont="1" applyFill="1" applyBorder="1" applyAlignment="1">
      <alignment horizontal="center"/>
    </xf>
    <xf numFmtId="0" fontId="37" fillId="0" borderId="0" xfId="0" applyFont="1" applyAlignment="1">
      <alignment horizontal="center"/>
    </xf>
    <xf numFmtId="0" fontId="37" fillId="0" borderId="0" xfId="0" applyFont="1" applyAlignment="1">
      <alignment horizontal="left"/>
    </xf>
    <xf numFmtId="166" fontId="35" fillId="6" borderId="1" xfId="0" applyNumberFormat="1" applyFont="1" applyFill="1" applyBorder="1" applyAlignment="1">
      <alignment horizontal="right"/>
    </xf>
    <xf numFmtId="0" fontId="34" fillId="4" borderId="0" xfId="0" applyFont="1" applyFill="1" applyAlignment="1">
      <alignment horizontal="left"/>
    </xf>
    <xf numFmtId="166" fontId="45" fillId="4" borderId="1" xfId="0" applyNumberFormat="1" applyFont="1" applyFill="1" applyBorder="1" applyAlignment="1">
      <alignment horizontal="right"/>
    </xf>
    <xf numFmtId="167" fontId="38" fillId="0" borderId="1" xfId="0" applyNumberFormat="1" applyFont="1" applyBorder="1"/>
    <xf numFmtId="0" fontId="37" fillId="0" borderId="0" xfId="0" applyFont="1" applyAlignment="1">
      <alignment horizontal="left" indent="1"/>
    </xf>
    <xf numFmtId="0" fontId="34" fillId="17" borderId="0" xfId="0" applyFont="1" applyFill="1" applyAlignment="1">
      <alignment horizontal="left"/>
    </xf>
    <xf numFmtId="168" fontId="45" fillId="4" borderId="1" xfId="0" applyNumberFormat="1" applyFont="1" applyFill="1" applyBorder="1" applyAlignment="1">
      <alignment horizontal="right"/>
    </xf>
    <xf numFmtId="0" fontId="34" fillId="4" borderId="0" xfId="0" applyFont="1" applyFill="1"/>
    <xf numFmtId="0" fontId="38" fillId="0" borderId="1" xfId="0" applyFont="1" applyBorder="1" applyAlignment="1">
      <alignment horizontal="left" vertical="top" wrapText="1"/>
    </xf>
    <xf numFmtId="166" fontId="38" fillId="0" borderId="1" xfId="0" applyNumberFormat="1" applyFont="1" applyBorder="1" applyAlignment="1">
      <alignment horizontal="right"/>
    </xf>
    <xf numFmtId="165" fontId="38" fillId="0" borderId="1" xfId="0" applyNumberFormat="1" applyFont="1" applyBorder="1" applyAlignment="1">
      <alignment horizontal="right"/>
    </xf>
    <xf numFmtId="167" fontId="38" fillId="0" borderId="1" xfId="0" applyNumberFormat="1" applyFont="1" applyBorder="1" applyAlignment="1">
      <alignment horizontal="right"/>
    </xf>
    <xf numFmtId="1" fontId="38" fillId="0" borderId="1" xfId="0" applyNumberFormat="1" applyFont="1" applyBorder="1" applyAlignment="1">
      <alignment horizontal="right"/>
    </xf>
    <xf numFmtId="167" fontId="38" fillId="0" borderId="0" xfId="0" applyNumberFormat="1" applyFont="1"/>
    <xf numFmtId="0" fontId="38" fillId="0" borderId="0" xfId="0" applyFont="1" applyAlignment="1">
      <alignment horizontal="left" vertical="top" wrapText="1"/>
    </xf>
    <xf numFmtId="0" fontId="38" fillId="0" borderId="0" xfId="0" applyFont="1" applyAlignment="1">
      <alignment vertical="top" wrapText="1"/>
    </xf>
    <xf numFmtId="168" fontId="45" fillId="4" borderId="0" xfId="0" applyNumberFormat="1" applyFont="1" applyFill="1"/>
    <xf numFmtId="0" fontId="32" fillId="0" borderId="1" xfId="0" applyFont="1" applyBorder="1" applyAlignment="1">
      <alignment horizontal="center" wrapText="1"/>
    </xf>
    <xf numFmtId="0" fontId="38" fillId="0" borderId="1" xfId="0" applyFont="1" applyBorder="1" applyAlignment="1">
      <alignment vertical="top" wrapText="1"/>
    </xf>
    <xf numFmtId="168" fontId="38" fillId="0" borderId="1" xfId="0" applyNumberFormat="1" applyFont="1" applyBorder="1" applyAlignment="1">
      <alignment horizontal="right"/>
    </xf>
    <xf numFmtId="0" fontId="45" fillId="0" borderId="0" xfId="0" applyFont="1" applyAlignment="1">
      <alignment horizontal="center"/>
    </xf>
    <xf numFmtId="0" fontId="32" fillId="0" borderId="0" xfId="0" applyFont="1" applyAlignment="1">
      <alignment vertical="top" wrapText="1"/>
    </xf>
    <xf numFmtId="0" fontId="43" fillId="2" borderId="1" xfId="0" applyFont="1" applyFill="1" applyBorder="1" applyAlignment="1">
      <alignment horizontal="center" vertical="center" wrapText="1"/>
    </xf>
    <xf numFmtId="0" fontId="0" fillId="0" borderId="1" xfId="0" applyBorder="1" applyAlignment="1">
      <alignment horizontal="center"/>
    </xf>
    <xf numFmtId="0" fontId="0" fillId="4" borderId="1" xfId="0" applyFill="1" applyBorder="1"/>
    <xf numFmtId="0" fontId="34" fillId="4" borderId="1" xfId="0" applyFont="1" applyFill="1" applyBorder="1"/>
    <xf numFmtId="166" fontId="45" fillId="4" borderId="1" xfId="0" applyNumberFormat="1" applyFont="1" applyFill="1" applyBorder="1"/>
    <xf numFmtId="0" fontId="0" fillId="2" borderId="1" xfId="0" applyFill="1" applyBorder="1"/>
    <xf numFmtId="0" fontId="44" fillId="2" borderId="1" xfId="0" applyFont="1" applyFill="1" applyBorder="1"/>
    <xf numFmtId="166" fontId="43" fillId="2" borderId="1" xfId="0" applyNumberFormat="1" applyFont="1" applyFill="1" applyBorder="1"/>
    <xf numFmtId="0" fontId="8" fillId="4" borderId="0" xfId="0" applyFont="1" applyFill="1" applyAlignment="1">
      <alignment horizontal="left" vertical="center" wrapText="1"/>
    </xf>
    <xf numFmtId="0" fontId="30" fillId="0" borderId="0" xfId="0" applyFont="1" applyAlignment="1">
      <alignment horizontal="left" vertical="center"/>
    </xf>
    <xf numFmtId="4" fontId="46" fillId="10" borderId="0" xfId="0" applyNumberFormat="1" applyFont="1" applyFill="1" applyAlignment="1">
      <alignment horizontal="center" vertical="center"/>
    </xf>
    <xf numFmtId="4" fontId="26" fillId="7" borderId="0" xfId="0" applyNumberFormat="1" applyFont="1" applyFill="1" applyAlignment="1">
      <alignment horizontal="center" vertical="center"/>
    </xf>
    <xf numFmtId="169" fontId="26" fillId="7" borderId="0" xfId="0" applyNumberFormat="1" applyFont="1" applyFill="1" applyAlignment="1">
      <alignment horizontal="center" vertical="center"/>
    </xf>
    <xf numFmtId="0" fontId="11" fillId="5" borderId="0" xfId="0" applyFont="1" applyFill="1" applyAlignment="1">
      <alignment horizontal="center" vertical="center" wrapText="1"/>
    </xf>
    <xf numFmtId="166" fontId="45" fillId="0" borderId="0" xfId="0" applyNumberFormat="1" applyFont="1"/>
    <xf numFmtId="167" fontId="45" fillId="0" borderId="0" xfId="0" applyNumberFormat="1" applyFont="1"/>
    <xf numFmtId="0" fontId="37" fillId="0" borderId="1" xfId="0" applyFont="1" applyBorder="1" applyAlignment="1">
      <alignment horizontal="left" vertical="top" wrapText="1"/>
    </xf>
    <xf numFmtId="0" fontId="32" fillId="0" borderId="1" xfId="0" applyFont="1" applyBorder="1" applyAlignment="1">
      <alignment horizontal="left" vertical="top" wrapText="1"/>
    </xf>
    <xf numFmtId="166" fontId="45" fillId="0" borderId="1" xfId="0" applyNumberFormat="1" applyFont="1" applyBorder="1" applyAlignment="1">
      <alignment horizontal="right"/>
    </xf>
    <xf numFmtId="0" fontId="32" fillId="0" borderId="1" xfId="0" applyFont="1" applyBorder="1" applyAlignment="1">
      <alignment horizontal="center"/>
    </xf>
    <xf numFmtId="0" fontId="45" fillId="0" borderId="1" xfId="0" applyFont="1" applyBorder="1" applyAlignment="1">
      <alignment horizontal="center"/>
    </xf>
    <xf numFmtId="167" fontId="45" fillId="0" borderId="1" xfId="0" applyNumberFormat="1" applyFont="1" applyBorder="1" applyAlignment="1">
      <alignment horizontal="right"/>
    </xf>
    <xf numFmtId="168" fontId="45" fillId="0" borderId="1" xfId="0" applyNumberFormat="1" applyFont="1" applyBorder="1" applyAlignment="1">
      <alignment horizontal="right"/>
    </xf>
    <xf numFmtId="1" fontId="45" fillId="0" borderId="1" xfId="0" applyNumberFormat="1" applyFont="1" applyBorder="1" applyAlignment="1">
      <alignment horizontal="right"/>
    </xf>
    <xf numFmtId="0" fontId="47" fillId="4" borderId="0" xfId="0" applyFont="1" applyFill="1" applyAlignment="1">
      <alignment horizontal="center" vertical="center"/>
    </xf>
    <xf numFmtId="0" fontId="6" fillId="5" borderId="0" xfId="0" applyFont="1" applyFill="1" applyAlignment="1">
      <alignment horizontal="left" vertical="center" wrapText="1"/>
    </xf>
    <xf numFmtId="2" fontId="46" fillId="5" borderId="0" xfId="0" applyNumberFormat="1" applyFont="1" applyFill="1" applyAlignment="1">
      <alignment horizontal="center" vertical="center"/>
    </xf>
    <xf numFmtId="0" fontId="46" fillId="5" borderId="0" xfId="0" applyFont="1" applyFill="1" applyAlignment="1">
      <alignment horizontal="center" vertical="center"/>
    </xf>
    <xf numFmtId="0" fontId="48" fillId="11" borderId="0" xfId="0" applyFont="1" applyFill="1" applyAlignment="1">
      <alignment horizontal="center" vertical="center"/>
    </xf>
    <xf numFmtId="0" fontId="49" fillId="10" borderId="0" xfId="0" applyFont="1" applyFill="1" applyAlignment="1">
      <alignment horizontal="center" vertical="center"/>
    </xf>
    <xf numFmtId="0" fontId="11" fillId="6" borderId="0" xfId="0" applyFont="1" applyFill="1" applyAlignment="1">
      <alignment horizontal="center" vertical="center"/>
    </xf>
    <xf numFmtId="169" fontId="46" fillId="5" borderId="0" xfId="0" applyNumberFormat="1" applyFont="1" applyFill="1" applyAlignment="1">
      <alignment horizontal="center" vertical="center"/>
    </xf>
    <xf numFmtId="0" fontId="8" fillId="4" borderId="0" xfId="0" applyFont="1" applyFill="1" applyAlignment="1">
      <alignment horizontal="center" vertical="center" wrapText="1"/>
    </xf>
    <xf numFmtId="0" fontId="51" fillId="11" borderId="0" xfId="0" applyFont="1" applyFill="1" applyAlignment="1">
      <alignment horizontal="left" vertical="center" wrapText="1"/>
    </xf>
    <xf numFmtId="0" fontId="6" fillId="5" borderId="0" xfId="0" applyFont="1" applyFill="1" applyAlignment="1">
      <alignment horizontal="center" vertical="center"/>
    </xf>
    <xf numFmtId="0" fontId="52" fillId="11" borderId="0" xfId="0" applyFont="1" applyFill="1" applyAlignment="1">
      <alignment horizontal="center" vertical="center"/>
    </xf>
    <xf numFmtId="0" fontId="53" fillId="10" borderId="0" xfId="0" applyFont="1" applyFill="1" applyAlignment="1">
      <alignment horizontal="center" vertical="center"/>
    </xf>
    <xf numFmtId="0" fontId="36" fillId="13" borderId="1" xfId="0" applyFont="1" applyFill="1" applyBorder="1" applyAlignment="1">
      <alignment horizontal="left" vertical="top" wrapText="1" indent="1"/>
    </xf>
    <xf numFmtId="0" fontId="45" fillId="0" borderId="1" xfId="0" applyFont="1" applyBorder="1" applyAlignment="1">
      <alignment horizontal="left" vertical="top" wrapText="1" indent="1"/>
    </xf>
    <xf numFmtId="0" fontId="38" fillId="0" borderId="1" xfId="0" applyFont="1" applyBorder="1" applyAlignment="1">
      <alignment horizontal="left" vertical="top" wrapText="1" indent="1"/>
    </xf>
    <xf numFmtId="0" fontId="42" fillId="13" borderId="1" xfId="0" applyFont="1" applyFill="1" applyBorder="1" applyAlignment="1">
      <alignment horizontal="left" vertical="top" wrapText="1" indent="1"/>
    </xf>
    <xf numFmtId="0" fontId="37" fillId="0" borderId="1" xfId="0" applyFont="1" applyBorder="1" applyAlignment="1">
      <alignment horizontal="left" vertical="top" wrapText="1" indent="1"/>
    </xf>
    <xf numFmtId="0" fontId="37" fillId="0" borderId="1" xfId="0" applyFont="1" applyBorder="1" applyAlignment="1">
      <alignment vertical="top" wrapText="1"/>
    </xf>
    <xf numFmtId="0" fontId="33" fillId="12" borderId="0" xfId="0" applyFont="1" applyFill="1"/>
    <xf numFmtId="0" fontId="37" fillId="0" borderId="0" xfId="0" applyFont="1" applyAlignment="1">
      <alignment wrapText="1"/>
    </xf>
    <xf numFmtId="4" fontId="23" fillId="10" borderId="0" xfId="0" applyNumberFormat="1" applyFont="1" applyFill="1" applyAlignment="1">
      <alignment horizontal="center" vertical="center"/>
    </xf>
    <xf numFmtId="0" fontId="6" fillId="5" borderId="0" xfId="0" applyFont="1" applyFill="1" applyAlignment="1">
      <alignment horizontal="left" vertical="center"/>
    </xf>
    <xf numFmtId="169" fontId="23" fillId="10" borderId="0" xfId="0" applyNumberFormat="1" applyFont="1" applyFill="1" applyAlignment="1">
      <alignment horizontal="center" vertical="center"/>
    </xf>
    <xf numFmtId="170" fontId="23" fillId="10" borderId="0" xfId="0" applyNumberFormat="1" applyFont="1" applyFill="1" applyAlignment="1">
      <alignment horizontal="center" vertical="center"/>
    </xf>
    <xf numFmtId="1" fontId="23" fillId="10" borderId="0" xfId="0" applyNumberFormat="1" applyFont="1" applyFill="1" applyAlignment="1">
      <alignment horizontal="center" vertical="center"/>
    </xf>
    <xf numFmtId="169" fontId="24" fillId="6" borderId="0" xfId="0" applyNumberFormat="1" applyFont="1" applyFill="1" applyAlignment="1">
      <alignment horizontal="center" vertical="center"/>
    </xf>
    <xf numFmtId="1" fontId="24" fillId="6" borderId="0" xfId="0" applyNumberFormat="1" applyFont="1" applyFill="1" applyAlignment="1">
      <alignment horizontal="center" vertical="center"/>
    </xf>
    <xf numFmtId="4" fontId="25" fillId="6" borderId="0" xfId="0" applyNumberFormat="1" applyFont="1" applyFill="1" applyAlignment="1">
      <alignment horizontal="center" vertical="center"/>
    </xf>
    <xf numFmtId="4" fontId="54" fillId="11" borderId="0" xfId="0" applyNumberFormat="1" applyFont="1" applyFill="1" applyAlignment="1">
      <alignment horizontal="center" vertical="center"/>
    </xf>
    <xf numFmtId="170" fontId="25" fillId="6" borderId="0" xfId="0" applyNumberFormat="1" applyFont="1" applyFill="1" applyAlignment="1">
      <alignment horizontal="center" vertical="center"/>
    </xf>
    <xf numFmtId="170" fontId="54" fillId="11" borderId="0" xfId="0" applyNumberFormat="1" applyFont="1" applyFill="1" applyAlignment="1">
      <alignment horizontal="center" vertical="center"/>
    </xf>
    <xf numFmtId="0" fontId="5" fillId="2" borderId="0" xfId="0" applyFont="1" applyFill="1" applyAlignment="1">
      <alignment horizontal="center" vertical="center" wrapText="1"/>
    </xf>
    <xf numFmtId="169" fontId="46" fillId="10" borderId="0" xfId="0" applyNumberFormat="1" applyFont="1" applyFill="1" applyAlignment="1">
      <alignment horizontal="center" vertical="center"/>
    </xf>
    <xf numFmtId="1" fontId="46" fillId="10" borderId="0" xfId="0" applyNumberFormat="1" applyFont="1" applyFill="1" applyAlignment="1">
      <alignment horizontal="center" vertical="center"/>
    </xf>
    <xf numFmtId="170" fontId="46" fillId="10" borderId="0" xfId="0" applyNumberFormat="1" applyFont="1" applyFill="1" applyAlignment="1">
      <alignment horizontal="center" vertical="center"/>
    </xf>
    <xf numFmtId="0" fontId="8" fillId="0" borderId="0" xfId="0" applyFont="1" applyAlignment="1">
      <alignment vertical="top" wrapText="1"/>
    </xf>
    <xf numFmtId="0" fontId="20" fillId="0" borderId="0" xfId="0" applyFont="1"/>
    <xf numFmtId="0" fontId="40" fillId="6" borderId="2" xfId="0" applyFont="1" applyFill="1" applyBorder="1" applyAlignment="1">
      <alignment horizontal="center"/>
    </xf>
    <xf numFmtId="0" fontId="8" fillId="0" borderId="0" xfId="0" applyFont="1"/>
    <xf numFmtId="9" fontId="40" fillId="6" borderId="2" xfId="0" applyNumberFormat="1" applyFont="1" applyFill="1" applyBorder="1" applyAlignment="1">
      <alignment horizontal="center"/>
    </xf>
    <xf numFmtId="0" fontId="20" fillId="19" borderId="2" xfId="0" applyFont="1" applyFill="1" applyBorder="1" applyAlignment="1">
      <alignment horizontal="center" wrapText="1"/>
    </xf>
    <xf numFmtId="169" fontId="40" fillId="6" borderId="2" xfId="0" applyNumberFormat="1" applyFont="1" applyFill="1" applyBorder="1" applyAlignment="1">
      <alignment horizontal="center"/>
    </xf>
    <xf numFmtId="10" fontId="40" fillId="6" borderId="2" xfId="0" applyNumberFormat="1" applyFont="1" applyFill="1" applyBorder="1" applyAlignment="1">
      <alignment horizontal="center"/>
    </xf>
    <xf numFmtId="1" fontId="40" fillId="6" borderId="2" xfId="0" applyNumberFormat="1" applyFont="1" applyFill="1" applyBorder="1" applyAlignment="1">
      <alignment horizontal="center"/>
    </xf>
    <xf numFmtId="0" fontId="8" fillId="0" borderId="0" xfId="0" applyFont="1" applyAlignment="1">
      <alignment wrapText="1"/>
    </xf>
    <xf numFmtId="0" fontId="20" fillId="4" borderId="0" xfId="0" applyFont="1" applyFill="1" applyAlignment="1">
      <alignment horizontal="center"/>
    </xf>
    <xf numFmtId="0" fontId="55" fillId="0" borderId="0" xfId="0" applyFont="1"/>
    <xf numFmtId="166" fontId="6" fillId="0" borderId="0" xfId="0" applyNumberFormat="1" applyFont="1" applyAlignment="1">
      <alignment horizontal="center"/>
    </xf>
    <xf numFmtId="10" fontId="6" fillId="0" borderId="0" xfId="0" applyNumberFormat="1" applyFont="1" applyAlignment="1">
      <alignment horizontal="center"/>
    </xf>
    <xf numFmtId="171" fontId="6" fillId="0" borderId="0" xfId="0" applyNumberFormat="1" applyFont="1" applyAlignment="1">
      <alignment horizontal="center"/>
    </xf>
    <xf numFmtId="172" fontId="6" fillId="0" borderId="0" xfId="0" applyNumberFormat="1" applyFont="1" applyAlignment="1">
      <alignment horizontal="center"/>
    </xf>
    <xf numFmtId="0" fontId="56" fillId="0" borderId="0" xfId="0" applyFont="1"/>
    <xf numFmtId="170" fontId="56" fillId="6" borderId="0" xfId="0" applyNumberFormat="1" applyFont="1" applyFill="1" applyAlignment="1">
      <alignment horizontal="center"/>
    </xf>
    <xf numFmtId="0" fontId="56" fillId="0" borderId="0" xfId="0" applyFont="1" applyAlignment="1">
      <alignment horizontal="right"/>
    </xf>
    <xf numFmtId="0" fontId="20" fillId="19" borderId="0" xfId="0" applyFont="1" applyFill="1" applyAlignment="1">
      <alignment horizontal="center"/>
    </xf>
    <xf numFmtId="9" fontId="20" fillId="19" borderId="2" xfId="0" applyNumberFormat="1" applyFont="1" applyFill="1" applyBorder="1" applyAlignment="1">
      <alignment horizontal="center"/>
    </xf>
    <xf numFmtId="170" fontId="6" fillId="0" borderId="0" xfId="0" applyNumberFormat="1" applyFont="1" applyAlignment="1">
      <alignment horizontal="center"/>
    </xf>
    <xf numFmtId="0" fontId="58" fillId="20" borderId="0" xfId="0" applyFont="1" applyFill="1" applyAlignment="1">
      <alignment horizontal="center" vertical="center"/>
    </xf>
    <xf numFmtId="0" fontId="6" fillId="4" borderId="0" xfId="0" applyFont="1" applyFill="1" applyAlignment="1">
      <alignment horizontal="left" vertical="center" wrapText="1"/>
    </xf>
    <xf numFmtId="169" fontId="22" fillId="7" borderId="0" xfId="0" applyNumberFormat="1" applyFont="1" applyFill="1" applyAlignment="1">
      <alignment horizontal="center" vertical="center"/>
    </xf>
    <xf numFmtId="0" fontId="59" fillId="6" borderId="0" xfId="0" applyFont="1" applyFill="1" applyAlignment="1">
      <alignment horizontal="center" vertical="center"/>
    </xf>
    <xf numFmtId="173" fontId="26" fillId="7" borderId="0" xfId="0" applyNumberFormat="1" applyFont="1" applyFill="1" applyAlignment="1">
      <alignment horizontal="center" vertical="center"/>
    </xf>
    <xf numFmtId="0" fontId="60" fillId="21" borderId="0" xfId="0" applyFont="1" applyFill="1" applyAlignment="1">
      <alignment horizontal="center" vertical="center"/>
    </xf>
    <xf numFmtId="0" fontId="61" fillId="6" borderId="0" xfId="0" applyFont="1" applyFill="1" applyAlignment="1">
      <alignment horizontal="center" vertical="center"/>
    </xf>
    <xf numFmtId="169" fontId="6" fillId="5" borderId="0" xfId="0" applyNumberFormat="1" applyFont="1" applyFill="1" applyAlignment="1">
      <alignment horizontal="center" vertical="center"/>
    </xf>
    <xf numFmtId="165" fontId="6" fillId="5" borderId="0" xfId="0" applyNumberFormat="1" applyFont="1" applyFill="1" applyAlignment="1">
      <alignment horizontal="center" vertical="center"/>
    </xf>
    <xf numFmtId="173" fontId="62" fillId="20" borderId="0" xfId="0" applyNumberFormat="1" applyFont="1" applyFill="1" applyAlignment="1">
      <alignment horizontal="center" vertical="center"/>
    </xf>
    <xf numFmtId="0" fontId="10" fillId="4" borderId="0" xfId="0" applyFont="1" applyFill="1" applyAlignment="1">
      <alignment horizontal="left" vertical="center"/>
    </xf>
    <xf numFmtId="173" fontId="26" fillId="21" borderId="0" xfId="0" applyNumberFormat="1" applyFont="1" applyFill="1" applyAlignment="1">
      <alignment horizontal="center" vertical="center"/>
    </xf>
    <xf numFmtId="173" fontId="63" fillId="6" borderId="0" xfId="0" applyNumberFormat="1" applyFont="1" applyFill="1" applyAlignment="1">
      <alignment horizontal="center" vertical="center"/>
    </xf>
    <xf numFmtId="0" fontId="46" fillId="10" borderId="0" xfId="0" applyFont="1" applyFill="1" applyAlignment="1">
      <alignment horizontal="center" vertical="center"/>
    </xf>
    <xf numFmtId="0" fontId="5" fillId="2" borderId="0" xfId="0" applyFont="1" applyFill="1" applyAlignment="1">
      <alignment horizontal="left" vertical="center" wrapText="1"/>
    </xf>
    <xf numFmtId="0" fontId="66" fillId="15" borderId="0" xfId="0" applyFont="1" applyFill="1" applyAlignment="1">
      <alignment horizontal="center" vertical="center"/>
    </xf>
    <xf numFmtId="174" fontId="67" fillId="10" borderId="0" xfId="0" applyNumberFormat="1" applyFont="1" applyFill="1" applyAlignment="1">
      <alignment horizontal="center" vertical="center"/>
    </xf>
    <xf numFmtId="0" fontId="68" fillId="22" borderId="0" xfId="0" applyFont="1" applyFill="1" applyAlignment="1">
      <alignment horizontal="center" vertical="center"/>
    </xf>
    <xf numFmtId="0" fontId="58" fillId="10" borderId="0" xfId="0" applyFont="1" applyFill="1" applyAlignment="1">
      <alignment horizontal="center" vertical="center"/>
    </xf>
    <xf numFmtId="0" fontId="19" fillId="0" borderId="0" xfId="0" applyFont="1" applyAlignment="1">
      <alignment horizontal="center"/>
    </xf>
    <xf numFmtId="0" fontId="4" fillId="3" borderId="0" xfId="0" applyFont="1" applyFill="1" applyAlignment="1">
      <alignment horizontal="center" vertical="center"/>
    </xf>
    <xf numFmtId="0" fontId="65" fillId="5" borderId="0" xfId="0" applyFont="1" applyFill="1" applyAlignment="1">
      <alignment horizontal="center" vertical="center"/>
    </xf>
    <xf numFmtId="0" fontId="69" fillId="22" borderId="0" xfId="0" applyFont="1" applyFill="1" applyAlignment="1">
      <alignment horizontal="center" vertical="center"/>
    </xf>
    <xf numFmtId="0" fontId="70" fillId="7" borderId="0" xfId="0" applyFont="1" applyFill="1" applyAlignment="1">
      <alignment horizontal="center" vertical="center"/>
    </xf>
    <xf numFmtId="0" fontId="9" fillId="6" borderId="0" xfId="0" applyFont="1" applyFill="1" applyAlignment="1">
      <alignment horizontal="center" vertical="center" wrapText="1"/>
    </xf>
    <xf numFmtId="4" fontId="39" fillId="6" borderId="0" xfId="0" applyNumberFormat="1" applyFont="1" applyFill="1" applyAlignment="1">
      <alignment horizontal="center" vertical="center"/>
    </xf>
    <xf numFmtId="4" fontId="71" fillId="5" borderId="0" xfId="0" applyNumberFormat="1" applyFont="1" applyFill="1" applyAlignment="1">
      <alignment horizontal="center" vertical="center"/>
    </xf>
    <xf numFmtId="0" fontId="41" fillId="10" borderId="0" xfId="0" applyFont="1" applyFill="1" applyAlignment="1">
      <alignment horizontal="left" vertical="center"/>
    </xf>
    <xf numFmtId="4" fontId="41" fillId="10" borderId="0" xfId="0" applyNumberFormat="1" applyFont="1" applyFill="1" applyAlignment="1">
      <alignment horizontal="center" vertical="center"/>
    </xf>
    <xf numFmtId="0" fontId="66" fillId="11" borderId="0" xfId="0" applyFont="1" applyFill="1" applyAlignment="1">
      <alignment horizontal="left" vertical="center"/>
    </xf>
    <xf numFmtId="4" fontId="66" fillId="11" borderId="0" xfId="0" applyNumberFormat="1" applyFont="1" applyFill="1" applyAlignment="1">
      <alignment horizontal="center" vertical="center"/>
    </xf>
    <xf numFmtId="175" fontId="4" fillId="2" borderId="0" xfId="0" applyNumberFormat="1" applyFont="1" applyFill="1" applyAlignment="1">
      <alignment horizontal="center" vertical="center"/>
    </xf>
    <xf numFmtId="175" fontId="40" fillId="6" borderId="0" xfId="0" applyNumberFormat="1" applyFont="1" applyFill="1" applyAlignment="1">
      <alignment horizontal="center" vertical="center"/>
    </xf>
    <xf numFmtId="175" fontId="71" fillId="5" borderId="0" xfId="0" applyNumberFormat="1" applyFont="1" applyFill="1" applyAlignment="1">
      <alignment horizontal="center" vertical="center"/>
    </xf>
    <xf numFmtId="175" fontId="41" fillId="10" borderId="0" xfId="0" applyNumberFormat="1" applyFont="1" applyFill="1" applyAlignment="1">
      <alignment horizontal="center" vertical="center"/>
    </xf>
    <xf numFmtId="175" fontId="2" fillId="3" borderId="0" xfId="0" applyNumberFormat="1" applyFont="1" applyFill="1" applyAlignment="1">
      <alignment horizontal="center" vertical="center"/>
    </xf>
    <xf numFmtId="0" fontId="9" fillId="6" borderId="0" xfId="0" applyFont="1" applyFill="1" applyAlignment="1">
      <alignment horizontal="left" vertical="center"/>
    </xf>
    <xf numFmtId="176" fontId="66" fillId="6" borderId="0" xfId="0" applyNumberFormat="1" applyFont="1" applyFill="1" applyAlignment="1">
      <alignment horizontal="center" vertical="center"/>
    </xf>
    <xf numFmtId="0" fontId="20" fillId="13" borderId="2" xfId="0" applyFont="1" applyFill="1" applyBorder="1" applyAlignment="1">
      <alignment horizontal="center"/>
    </xf>
    <xf numFmtId="0" fontId="72" fillId="0" borderId="0" xfId="0" applyFont="1"/>
    <xf numFmtId="0" fontId="73" fillId="0" borderId="0" xfId="0" applyFont="1" applyAlignment="1">
      <alignment horizontal="center"/>
    </xf>
    <xf numFmtId="166" fontId="73" fillId="0" borderId="0" xfId="0" applyNumberFormat="1" applyFont="1"/>
    <xf numFmtId="166" fontId="6" fillId="0" borderId="0" xfId="0" applyNumberFormat="1" applyFont="1"/>
    <xf numFmtId="177" fontId="6" fillId="0" borderId="0" xfId="0" applyNumberFormat="1" applyFont="1"/>
    <xf numFmtId="0" fontId="20" fillId="13" borderId="2" xfId="0" applyFont="1" applyFill="1" applyBorder="1" applyAlignment="1">
      <alignment horizontal="center" wrapText="1"/>
    </xf>
    <xf numFmtId="177" fontId="40" fillId="6" borderId="0" xfId="0" applyNumberFormat="1" applyFont="1" applyFill="1" applyAlignment="1">
      <alignment horizontal="center"/>
    </xf>
    <xf numFmtId="178" fontId="6" fillId="0" borderId="0" xfId="0" applyNumberFormat="1" applyFont="1" applyAlignment="1">
      <alignment horizontal="center"/>
    </xf>
    <xf numFmtId="178" fontId="6" fillId="0" borderId="0" xfId="0" applyNumberFormat="1" applyFont="1"/>
    <xf numFmtId="10" fontId="6" fillId="0" borderId="0" xfId="0" applyNumberFormat="1" applyFont="1"/>
    <xf numFmtId="10" fontId="56" fillId="0" borderId="0" xfId="0" applyNumberFormat="1" applyFont="1"/>
    <xf numFmtId="0" fontId="20" fillId="24" borderId="0" xfId="0" applyFont="1" applyFill="1" applyAlignment="1">
      <alignment horizontal="center"/>
    </xf>
    <xf numFmtId="165" fontId="6" fillId="0" borderId="0" xfId="0" applyNumberFormat="1" applyFont="1" applyAlignment="1">
      <alignment horizontal="center"/>
    </xf>
    <xf numFmtId="165" fontId="56" fillId="0" borderId="0" xfId="0" applyNumberFormat="1" applyFont="1" applyAlignment="1">
      <alignment horizontal="center"/>
    </xf>
    <xf numFmtId="3" fontId="40" fillId="6" borderId="0" xfId="0" applyNumberFormat="1" applyFont="1" applyFill="1" applyAlignment="1">
      <alignment horizontal="center"/>
    </xf>
    <xf numFmtId="0" fontId="6" fillId="0" borderId="0" xfId="0" applyFont="1"/>
    <xf numFmtId="0" fontId="8" fillId="0" borderId="0" xfId="0" applyFont="1" applyAlignment="1">
      <alignment horizontal="center"/>
    </xf>
    <xf numFmtId="0" fontId="20" fillId="13" borderId="2" xfId="0" applyFont="1" applyFill="1" applyBorder="1" applyAlignment="1">
      <alignment horizontal="center" vertical="center" wrapText="1"/>
    </xf>
    <xf numFmtId="179" fontId="6" fillId="0" borderId="0" xfId="0" applyNumberFormat="1" applyFont="1" applyAlignment="1">
      <alignment horizontal="center"/>
    </xf>
    <xf numFmtId="0" fontId="20" fillId="13" borderId="0" xfId="0" applyFont="1" applyFill="1" applyAlignment="1">
      <alignment horizontal="center"/>
    </xf>
    <xf numFmtId="2" fontId="6" fillId="0" borderId="0" xfId="0" applyNumberFormat="1" applyFont="1" applyAlignment="1">
      <alignment horizontal="center"/>
    </xf>
    <xf numFmtId="0" fontId="20" fillId="6" borderId="0" xfId="0" applyFont="1" applyFill="1"/>
    <xf numFmtId="0" fontId="20" fillId="6" borderId="0" xfId="0" applyFont="1" applyFill="1" applyAlignment="1">
      <alignment horizontal="center"/>
    </xf>
    <xf numFmtId="10" fontId="73" fillId="0" borderId="0" xfId="0" applyNumberFormat="1" applyFont="1" applyAlignment="1">
      <alignment horizontal="center"/>
    </xf>
    <xf numFmtId="1" fontId="73" fillId="0" borderId="0" xfId="0" applyNumberFormat="1" applyFont="1" applyAlignment="1">
      <alignment horizontal="center"/>
    </xf>
    <xf numFmtId="1" fontId="6" fillId="0" borderId="0" xfId="0" applyNumberFormat="1" applyFont="1" applyAlignment="1">
      <alignment horizontal="center"/>
    </xf>
    <xf numFmtId="10" fontId="0" fillId="0" borderId="0" xfId="0" applyNumberFormat="1"/>
    <xf numFmtId="0" fontId="20" fillId="0" borderId="0" xfId="0" applyFont="1" applyAlignment="1">
      <alignment horizontal="center"/>
    </xf>
    <xf numFmtId="2" fontId="0" fillId="0" borderId="0" xfId="0" applyNumberFormat="1"/>
    <xf numFmtId="2" fontId="40" fillId="6" borderId="0" xfId="0" applyNumberFormat="1" applyFont="1" applyFill="1" applyAlignment="1">
      <alignment horizontal="center"/>
    </xf>
    <xf numFmtId="0" fontId="8" fillId="0" borderId="0" xfId="0" applyFont="1" applyAlignment="1">
      <alignment horizontal="right"/>
    </xf>
    <xf numFmtId="0" fontId="56" fillId="6" borderId="0" xfId="0" applyFont="1" applyFill="1"/>
    <xf numFmtId="3" fontId="73" fillId="0" borderId="0" xfId="0" applyNumberFormat="1" applyFont="1" applyAlignment="1">
      <alignment horizontal="center"/>
    </xf>
    <xf numFmtId="3" fontId="6" fillId="0" borderId="0" xfId="0" applyNumberFormat="1" applyFont="1" applyAlignment="1">
      <alignment horizontal="center"/>
    </xf>
    <xf numFmtId="180" fontId="6" fillId="0" borderId="0" xfId="0" applyNumberFormat="1" applyFont="1" applyAlignment="1">
      <alignment horizontal="center"/>
    </xf>
    <xf numFmtId="181" fontId="6" fillId="0" borderId="0" xfId="0" applyNumberFormat="1" applyFont="1" applyAlignment="1">
      <alignment horizontal="center"/>
    </xf>
    <xf numFmtId="182" fontId="40" fillId="6" borderId="2" xfId="0" applyNumberFormat="1" applyFont="1" applyFill="1" applyBorder="1" applyAlignment="1">
      <alignment horizontal="center"/>
    </xf>
    <xf numFmtId="4" fontId="73" fillId="0" borderId="0" xfId="0" applyNumberFormat="1" applyFont="1" applyAlignment="1">
      <alignment horizontal="center"/>
    </xf>
    <xf numFmtId="4" fontId="40" fillId="6" borderId="2" xfId="0" applyNumberFormat="1" applyFont="1" applyFill="1" applyBorder="1" applyAlignment="1">
      <alignment horizontal="center"/>
    </xf>
    <xf numFmtId="0" fontId="55" fillId="0" borderId="0" xfId="0" applyFont="1" applyAlignment="1">
      <alignment horizontal="center"/>
    </xf>
    <xf numFmtId="182" fontId="6" fillId="0" borderId="0" xfId="0" applyNumberFormat="1" applyFont="1" applyAlignment="1">
      <alignment horizontal="center"/>
    </xf>
    <xf numFmtId="166" fontId="40" fillId="6" borderId="2" xfId="0" applyNumberFormat="1" applyFont="1" applyFill="1" applyBorder="1" applyAlignment="1">
      <alignment horizontal="center"/>
    </xf>
    <xf numFmtId="0" fontId="30" fillId="0" borderId="0" xfId="0" applyFont="1" applyAlignment="1">
      <alignment horizontal="center"/>
    </xf>
    <xf numFmtId="0" fontId="74" fillId="0" borderId="0" xfId="0" applyFont="1" applyAlignment="1">
      <alignment horizontal="center"/>
    </xf>
    <xf numFmtId="166" fontId="6" fillId="22" borderId="0" xfId="0" applyNumberFormat="1" applyFont="1" applyFill="1" applyAlignment="1">
      <alignment horizontal="center"/>
    </xf>
    <xf numFmtId="183" fontId="8" fillId="0" borderId="0" xfId="0" applyNumberFormat="1" applyFont="1" applyAlignment="1">
      <alignment horizontal="center"/>
    </xf>
    <xf numFmtId="173" fontId="6" fillId="0" borderId="0" xfId="0" applyNumberFormat="1" applyFont="1" applyAlignment="1">
      <alignment horizontal="center"/>
    </xf>
    <xf numFmtId="169" fontId="6" fillId="0" borderId="0" xfId="0" applyNumberFormat="1" applyFont="1" applyAlignment="1">
      <alignment horizontal="center"/>
    </xf>
    <xf numFmtId="0" fontId="19" fillId="0" borderId="0" xfId="0" applyFont="1" applyAlignment="1">
      <alignment horizontal="left" indent="1"/>
    </xf>
    <xf numFmtId="0" fontId="20" fillId="0" borderId="2" xfId="0" applyFont="1" applyBorder="1" applyAlignment="1">
      <alignment horizontal="left" wrapText="1" indent="1"/>
    </xf>
    <xf numFmtId="0" fontId="20" fillId="0" borderId="0" xfId="0" applyFont="1" applyAlignment="1">
      <alignment horizontal="center" vertical="top"/>
    </xf>
    <xf numFmtId="0" fontId="19" fillId="0" borderId="0" xfId="0" applyFont="1" applyAlignment="1">
      <alignment horizontal="justify" vertical="top" wrapText="1"/>
    </xf>
    <xf numFmtId="0" fontId="20" fillId="13" borderId="0" xfId="0" applyFont="1" applyFill="1" applyAlignment="1">
      <alignment horizontal="center" vertical="top"/>
    </xf>
    <xf numFmtId="0" fontId="19" fillId="0" borderId="2" xfId="0" applyFont="1" applyBorder="1" applyAlignment="1">
      <alignment vertical="top" wrapText="1"/>
    </xf>
    <xf numFmtId="0" fontId="20" fillId="13" borderId="0" xfId="0" applyFont="1" applyFill="1" applyAlignment="1">
      <alignment horizontal="left" indent="1"/>
    </xf>
    <xf numFmtId="0" fontId="19" fillId="0" borderId="2" xfId="0" applyFont="1" applyBorder="1" applyAlignment="1">
      <alignment horizontal="left" wrapText="1" indent="1"/>
    </xf>
    <xf numFmtId="0" fontId="8" fillId="0" borderId="0" xfId="0" applyFont="1" applyAlignment="1">
      <alignment horizontal="left" vertical="top" indent="1"/>
    </xf>
    <xf numFmtId="0" fontId="5" fillId="2" borderId="0" xfId="0" applyFont="1" applyFill="1" applyAlignment="1">
      <alignment horizontal="center" vertical="center"/>
    </xf>
    <xf numFmtId="0" fontId="8" fillId="4" borderId="0" xfId="0" applyFont="1" applyFill="1" applyAlignment="1">
      <alignment horizontal="center" vertical="center"/>
    </xf>
    <xf numFmtId="0" fontId="17" fillId="5" borderId="0" xfId="0" applyFont="1" applyFill="1" applyAlignment="1">
      <alignment horizontal="left" vertical="center" wrapText="1"/>
    </xf>
    <xf numFmtId="0" fontId="18" fillId="5" borderId="0" xfId="0" applyFont="1" applyFill="1" applyAlignment="1">
      <alignment horizontal="left" vertical="center" wrapText="1"/>
    </xf>
    <xf numFmtId="0" fontId="21" fillId="3" borderId="0" xfId="0" applyFont="1" applyFill="1" applyAlignment="1">
      <alignment horizontal="center" vertical="center"/>
    </xf>
    <xf numFmtId="0" fontId="30" fillId="4" borderId="0" xfId="0" applyFont="1" applyFill="1" applyAlignment="1">
      <alignment horizontal="left" vertical="center" wrapText="1"/>
    </xf>
    <xf numFmtId="0" fontId="31" fillId="2" borderId="0" xfId="0" applyFont="1" applyFill="1" applyAlignment="1">
      <alignment horizontal="center" vertical="center"/>
    </xf>
    <xf numFmtId="0" fontId="32" fillId="0" borderId="0" xfId="0" applyFont="1" applyAlignment="1">
      <alignment horizontal="center"/>
    </xf>
    <xf numFmtId="0" fontId="33" fillId="12" borderId="0" xfId="0" applyFont="1" applyFill="1" applyAlignment="1">
      <alignment horizontal="left" vertical="center" indent="1"/>
    </xf>
    <xf numFmtId="0" fontId="35" fillId="6" borderId="1" xfId="0" applyFont="1" applyFill="1" applyBorder="1"/>
    <xf numFmtId="1" fontId="35" fillId="6" borderId="1" xfId="0" applyNumberFormat="1" applyFont="1" applyFill="1" applyBorder="1"/>
    <xf numFmtId="0" fontId="36" fillId="13" borderId="1" xfId="0" applyFont="1" applyFill="1" applyBorder="1"/>
    <xf numFmtId="166" fontId="35" fillId="6" borderId="1" xfId="0" applyNumberFormat="1" applyFont="1" applyFill="1" applyBorder="1"/>
    <xf numFmtId="0" fontId="32" fillId="0" borderId="0" xfId="0" applyFont="1" applyAlignment="1">
      <alignment horizontal="left" wrapText="1" indent="1"/>
    </xf>
    <xf numFmtId="0" fontId="33" fillId="14" borderId="0" xfId="0" applyFont="1" applyFill="1" applyAlignment="1">
      <alignment horizontal="left" vertical="center" indent="1"/>
    </xf>
    <xf numFmtId="0" fontId="36" fillId="13" borderId="0" xfId="0" applyFont="1" applyFill="1"/>
    <xf numFmtId="0" fontId="34" fillId="4" borderId="1" xfId="0" applyFont="1" applyFill="1" applyBorder="1" applyAlignment="1">
      <alignment horizontal="center"/>
    </xf>
    <xf numFmtId="0" fontId="38" fillId="0" borderId="1" xfId="0" applyFont="1" applyBorder="1" applyAlignment="1">
      <alignment horizontal="center"/>
    </xf>
    <xf numFmtId="0" fontId="38" fillId="0" borderId="1" xfId="0" applyFont="1" applyBorder="1" applyAlignment="1">
      <alignment horizontal="left" wrapText="1" indent="1"/>
    </xf>
    <xf numFmtId="0" fontId="32" fillId="0" borderId="0" xfId="0" applyFont="1"/>
    <xf numFmtId="0" fontId="2" fillId="2" borderId="0" xfId="0" applyFont="1" applyFill="1" applyAlignment="1">
      <alignment horizontal="left" vertical="center"/>
    </xf>
    <xf numFmtId="0" fontId="37" fillId="0" borderId="0" xfId="0" applyFont="1" applyAlignment="1">
      <alignment horizontal="left" vertical="top" wrapText="1" indent="1"/>
    </xf>
    <xf numFmtId="0" fontId="44" fillId="12" borderId="0" xfId="0" applyFont="1" applyFill="1" applyAlignment="1">
      <alignment horizontal="left" vertical="center" indent="1"/>
    </xf>
    <xf numFmtId="0" fontId="9" fillId="6" borderId="0" xfId="0" applyFont="1" applyFill="1" applyAlignment="1">
      <alignment horizontal="left" vertical="center" wrapText="1"/>
    </xf>
    <xf numFmtId="0" fontId="45" fillId="0" borderId="0" xfId="0" applyFont="1"/>
    <xf numFmtId="0" fontId="2" fillId="2" borderId="0" xfId="0" applyFont="1" applyFill="1" applyAlignment="1">
      <alignment horizontal="center" vertical="center"/>
    </xf>
    <xf numFmtId="0" fontId="8" fillId="4" borderId="0" xfId="0" applyFont="1" applyFill="1" applyAlignment="1">
      <alignment horizontal="left" vertical="center" wrapText="1"/>
    </xf>
    <xf numFmtId="0" fontId="9" fillId="4" borderId="0" xfId="0" applyFont="1" applyFill="1" applyAlignment="1">
      <alignment horizontal="left" vertical="center"/>
    </xf>
    <xf numFmtId="0" fontId="17" fillId="6" borderId="0" xfId="0" applyFont="1" applyFill="1" applyAlignment="1">
      <alignment horizontal="left" vertical="center" wrapText="1"/>
    </xf>
    <xf numFmtId="0" fontId="34" fillId="0" borderId="0" xfId="0" applyFont="1"/>
    <xf numFmtId="0" fontId="38" fillId="0" borderId="0" xfId="0" applyFont="1" applyAlignment="1">
      <alignment horizontal="left" indent="1"/>
    </xf>
    <xf numFmtId="0" fontId="44" fillId="12" borderId="0" xfId="0" applyFont="1" applyFill="1" applyAlignment="1">
      <alignment horizontal="left" indent="1"/>
    </xf>
    <xf numFmtId="0" fontId="50" fillId="2" borderId="0" xfId="0" applyFont="1" applyFill="1" applyAlignment="1">
      <alignment horizontal="center" vertical="center"/>
    </xf>
    <xf numFmtId="0" fontId="21" fillId="3" borderId="0" xfId="0" applyFont="1" applyFill="1" applyAlignment="1">
      <alignment horizontal="left" vertical="center"/>
    </xf>
    <xf numFmtId="0" fontId="42" fillId="13" borderId="0" xfId="0" applyFont="1" applyFill="1" applyAlignment="1">
      <alignment horizontal="left" vertical="center" indent="1"/>
    </xf>
    <xf numFmtId="0" fontId="6" fillId="6" borderId="0" xfId="0" applyFont="1" applyFill="1" applyAlignment="1">
      <alignment horizontal="left" vertical="center" wrapText="1"/>
    </xf>
    <xf numFmtId="0" fontId="4" fillId="18" borderId="0" xfId="0" applyFont="1" applyFill="1"/>
    <xf numFmtId="0" fontId="8" fillId="0" borderId="0" xfId="0" applyFont="1" applyAlignment="1">
      <alignment vertical="top" wrapText="1"/>
    </xf>
    <xf numFmtId="0" fontId="20" fillId="13" borderId="0" xfId="0" applyFont="1" applyFill="1"/>
    <xf numFmtId="0" fontId="8" fillId="0" borderId="0" xfId="0" applyFont="1"/>
    <xf numFmtId="0" fontId="56" fillId="6" borderId="0" xfId="0" applyFont="1" applyFill="1" applyAlignment="1">
      <alignment horizontal="center"/>
    </xf>
    <xf numFmtId="0" fontId="57" fillId="0" borderId="0" xfId="0" applyFont="1" applyAlignment="1">
      <alignment vertical="top" wrapText="1"/>
    </xf>
    <xf numFmtId="0" fontId="20" fillId="6" borderId="0" xfId="0" applyFont="1" applyFill="1" applyAlignment="1">
      <alignment horizontal="left" indent="1"/>
    </xf>
    <xf numFmtId="0" fontId="58" fillId="20" borderId="0" xfId="0" applyFont="1" applyFill="1" applyAlignment="1">
      <alignment horizontal="left" vertical="center"/>
    </xf>
    <xf numFmtId="0" fontId="60" fillId="21" borderId="0" xfId="0" applyFont="1" applyFill="1" applyAlignment="1">
      <alignment horizontal="left" vertical="center"/>
    </xf>
    <xf numFmtId="0" fontId="61" fillId="6" borderId="0" xfId="0" applyFont="1" applyFill="1" applyAlignment="1">
      <alignment horizontal="left" vertical="center"/>
    </xf>
    <xf numFmtId="0" fontId="9" fillId="5" borderId="0" xfId="0" applyFont="1" applyFill="1" applyAlignment="1">
      <alignment horizontal="left" vertical="center" wrapText="1"/>
    </xf>
    <xf numFmtId="0" fontId="64" fillId="7" borderId="0" xfId="0" applyFont="1" applyFill="1" applyAlignment="1">
      <alignment horizontal="center" vertical="center"/>
    </xf>
    <xf numFmtId="0" fontId="65" fillId="6" borderId="0" xfId="0" applyFont="1" applyFill="1" applyAlignment="1">
      <alignment horizontal="center" vertical="center"/>
    </xf>
    <xf numFmtId="0" fontId="8" fillId="6" borderId="0" xfId="0" applyFont="1" applyFill="1" applyAlignment="1">
      <alignment horizontal="left" vertical="center" wrapText="1"/>
    </xf>
    <xf numFmtId="0" fontId="21" fillId="3" borderId="0" xfId="0" applyFont="1" applyFill="1" applyAlignment="1">
      <alignment horizontal="center" vertical="center" wrapText="1"/>
    </xf>
    <xf numFmtId="0" fontId="50" fillId="23" borderId="0" xfId="0" applyFont="1" applyFill="1" applyAlignment="1">
      <alignment horizontal="left" vertical="center" indent="1"/>
    </xf>
    <xf numFmtId="0" fontId="20" fillId="15" borderId="0" xfId="0" applyFont="1" applyFill="1"/>
    <xf numFmtId="0" fontId="20" fillId="16" borderId="0" xfId="0" applyFont="1" applyFill="1"/>
    <xf numFmtId="0" fontId="8" fillId="0" borderId="0" xfId="0" applyFont="1" applyAlignment="1">
      <alignment wrapText="1"/>
    </xf>
    <xf numFmtId="0" fontId="20" fillId="6" borderId="0" xfId="0" applyFont="1" applyFill="1" applyAlignment="1">
      <alignment horizontal="center"/>
    </xf>
    <xf numFmtId="0" fontId="6" fillId="0" borderId="0" xfId="0" applyFont="1"/>
    <xf numFmtId="0" fontId="6" fillId="0" borderId="0" xfId="0" applyFont="1" applyAlignment="1">
      <alignment horizontal="center"/>
    </xf>
    <xf numFmtId="0" fontId="20" fillId="6" borderId="0" xfId="0" applyFont="1" applyFill="1" applyAlignment="1">
      <alignment wrapText="1"/>
    </xf>
    <xf numFmtId="0" fontId="20" fillId="0" borderId="0" xfId="0" applyFont="1" applyAlignment="1">
      <alignment horizontal="left" indent="1"/>
    </xf>
    <xf numFmtId="0" fontId="20" fillId="6" borderId="0" xfId="0" applyFont="1" applyFill="1" applyAlignment="1">
      <alignment horizontal="left" wrapText="1" indent="1"/>
    </xf>
    <xf numFmtId="0" fontId="6" fillId="0" borderId="0" xfId="0" applyFont="1" applyAlignment="1">
      <alignment horizontal="left" indent="1"/>
    </xf>
    <xf numFmtId="0" fontId="75" fillId="0" borderId="0" xfId="0" applyFont="1" applyAlignment="1">
      <alignment wrapText="1"/>
    </xf>
    <xf numFmtId="0" fontId="19" fillId="6" borderId="0" xfId="0" applyFont="1" applyFill="1" applyAlignment="1">
      <alignment horizontal="justify" vertical="top" wrapText="1"/>
    </xf>
  </cellXfs>
  <cellStyles count="1">
    <cellStyle name="Normal" xfId="0" builtinId="0"/>
  </cellStyles>
  <dxfs count="113">
    <dxf>
      <font>
        <b/>
        <sz val="10"/>
        <color rgb="FF006100"/>
        <name val="Calibri"/>
        <charset val="1"/>
      </font>
      <fill>
        <patternFill>
          <bgColor rgb="FFC6E0B4"/>
        </patternFill>
      </fill>
    </dxf>
    <dxf>
      <font>
        <b/>
        <sz val="10"/>
        <color rgb="FF9C0006"/>
        <name val="Calibri"/>
        <charset val="1"/>
      </font>
      <fill>
        <patternFill>
          <bgColor rgb="FFF8CBAD"/>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ill>
        <patternFill>
          <bgColor rgb="FFC6E0B4"/>
        </patternFill>
      </fill>
    </dxf>
    <dxf>
      <fill>
        <patternFill>
          <bgColor rgb="FFF8CBAD"/>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006100"/>
      </font>
      <fill>
        <patternFill>
          <bgColor rgb="FFC6E0B4"/>
        </patternFill>
      </fill>
    </dxf>
    <dxf>
      <font>
        <b/>
        <color rgb="FF9C0006"/>
      </font>
      <fill>
        <patternFill>
          <bgColor rgb="FFF8CBAD"/>
        </patternFill>
      </fill>
    </dxf>
    <dxf>
      <font>
        <color rgb="FF006100"/>
      </font>
      <fill>
        <patternFill>
          <bgColor rgb="FFC6E0B4"/>
        </patternFill>
      </fill>
    </dxf>
    <dxf>
      <font>
        <b/>
        <color rgb="FF9C0006"/>
      </font>
      <fill>
        <patternFill>
          <bgColor rgb="FFF8CBAD"/>
        </patternFill>
      </fill>
    </dxf>
    <dxf>
      <font>
        <color rgb="FF006100"/>
      </font>
      <fill>
        <patternFill>
          <bgColor rgb="FFC6E0B4"/>
        </patternFill>
      </fill>
    </dxf>
    <dxf>
      <font>
        <b/>
        <color rgb="FF9C0006"/>
      </font>
      <fill>
        <patternFill>
          <bgColor rgb="FFF8CBAD"/>
        </patternFill>
      </fill>
    </dxf>
    <dxf>
      <font>
        <color rgb="FF006100"/>
      </font>
      <fill>
        <patternFill>
          <bgColor rgb="FFC6E0B4"/>
        </patternFill>
      </fill>
    </dxf>
    <dxf>
      <font>
        <b/>
        <color rgb="FF9C0006"/>
      </font>
      <fill>
        <patternFill>
          <bgColor rgb="FFF8CBAD"/>
        </patternFill>
      </fill>
    </dxf>
    <dxf>
      <font>
        <color rgb="FF006100"/>
      </font>
      <fill>
        <patternFill>
          <bgColor rgb="FFC6E0B4"/>
        </patternFill>
      </fill>
    </dxf>
    <dxf>
      <font>
        <b/>
        <color rgb="FF9C0006"/>
      </font>
      <fill>
        <patternFill>
          <bgColor rgb="FFF8CBAD"/>
        </patternFill>
      </fill>
    </dxf>
    <dxf>
      <font>
        <color rgb="FF006100"/>
      </font>
      <fill>
        <patternFill>
          <bgColor rgb="FFC6E0B4"/>
        </patternFill>
      </fill>
    </dxf>
    <dxf>
      <font>
        <b/>
        <color rgb="FF9C0006"/>
      </font>
      <fill>
        <patternFill>
          <bgColor rgb="FFF8CBAD"/>
        </patternFill>
      </fill>
    </dxf>
    <dxf>
      <font>
        <b/>
        <color rgb="FF9C0006"/>
      </font>
      <fill>
        <patternFill>
          <bgColor rgb="FFF8CBAD"/>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00FFFF"/>
      <rgbColor rgb="FF9C0006"/>
      <rgbColor rgb="FF008000"/>
      <rgbColor rgb="FF000080"/>
      <rgbColor rgb="FF7F6000"/>
      <rgbColor rgb="FF800080"/>
      <rgbColor rgb="FF1F4E78"/>
      <rgbColor rgb="FFBFBFBF"/>
      <rgbColor rgb="FF808080"/>
      <rgbColor rgb="FF9966FF"/>
      <rgbColor rgb="FF993366"/>
      <rgbColor rgb="FFFFF2CC"/>
      <rgbColor rgb="FFDAE8FC"/>
      <rgbColor rgb="FF660066"/>
      <rgbColor rgb="FFE7E6E6"/>
      <rgbColor rgb="FF0070C0"/>
      <rgbColor rgb="FFBDD7EE"/>
      <rgbColor rgb="FF000080"/>
      <rgbColor rgb="FFFF00FF"/>
      <rgbColor rgb="FFFFE7E7"/>
      <rgbColor rgb="FF00FFFF"/>
      <rgbColor rgb="FF800080"/>
      <rgbColor rgb="FF800000"/>
      <rgbColor rgb="FF385723"/>
      <rgbColor rgb="FF0000FF"/>
      <rgbColor rgb="FF00CCFF"/>
      <rgbColor rgb="FFD5E8D4"/>
      <rgbColor rgb="FFE2EFDA"/>
      <rgbColor rgb="FFFFEB9C"/>
      <rgbColor rgb="FFC6E0B4"/>
      <rgbColor rgb="FFFCE4D6"/>
      <rgbColor rgb="FFD9E1F2"/>
      <rgbColor rgb="FFF8CBAD"/>
      <rgbColor rgb="FF2E75B6"/>
      <rgbColor rgb="FF33CCCC"/>
      <rgbColor rgb="FFF2F2F2"/>
      <rgbColor rgb="FFFFC000"/>
      <rgbColor rgb="FFFF9900"/>
      <rgbColor rgb="FFB66B0E"/>
      <rgbColor rgb="FF595959"/>
      <rgbColor rgb="FF999999"/>
      <rgbColor rgb="FF1F3864"/>
      <rgbColor rgb="FF70AD47"/>
      <rgbColor rgb="FF006100"/>
      <rgbColor rgb="FF375623"/>
      <rgbColor rgb="FF993300"/>
      <rgbColor rgb="FF993366"/>
      <rgbColor rgb="FF305496"/>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EC2AAD-CDCD-499C-9AFF-1BE45904A20F}">
  <we:reference id="wa200009404" version="1.0.0.8" store="en-US" storeType="OMEX"/>
  <we:alternateReferences>
    <we:reference id="WA200009404" version="1.0.0.8" store="WA200009404" storeType="OMEX"/>
  </we:alternateReferences>
  <we:properties>
    <we:property name="claude.fileId" value="&quot;0dc27870-4aae-4d06-ba9e-aa753a82304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Normal="100" workbookViewId="0"/>
  </sheetViews>
  <sheetFormatPr defaultColWidth="8.68359375" defaultRowHeight="14.4" x14ac:dyDescent="0.55000000000000004"/>
  <cols>
    <col min="1" max="1" width="2" customWidth="1"/>
    <col min="2" max="2" width="30" customWidth="1"/>
    <col min="3" max="3" width="15" customWidth="1"/>
    <col min="4" max="4" width="13" customWidth="1"/>
    <col min="5" max="5" width="15" customWidth="1"/>
    <col min="6" max="6" width="2" customWidth="1"/>
    <col min="7" max="7" width="26" customWidth="1"/>
    <col min="8" max="8" width="2" customWidth="1"/>
  </cols>
  <sheetData>
    <row r="1" spans="1:8" ht="36" customHeight="1" x14ac:dyDescent="0.55000000000000004">
      <c r="A1" s="14" t="s">
        <v>0</v>
      </c>
      <c r="B1" s="14"/>
      <c r="C1" s="14"/>
      <c r="D1" s="14"/>
      <c r="E1" s="14"/>
      <c r="F1" s="14"/>
      <c r="G1" s="14"/>
      <c r="H1" s="14"/>
    </row>
    <row r="2" spans="1:8" ht="19.5" customHeight="1" x14ac:dyDescent="0.55000000000000004">
      <c r="A2" s="13" t="str">
        <f>IF(BorrowerName="","[Borrower Not Set]","Borrower: "&amp;BorrowerName)</f>
        <v>[Borrower Not Set]</v>
      </c>
      <c r="B2" s="13"/>
      <c r="C2" s="12" t="str">
        <f>IF(IndustryName="","Industry: —","Industry: "&amp;IndustryName)</f>
        <v>Industry: —</v>
      </c>
      <c r="D2" s="12"/>
      <c r="E2" s="12" t="str">
        <f>IF(ProposalType="","Proposal: —","Proposal: "&amp;ProposalType)</f>
        <v>Proposal: —</v>
      </c>
      <c r="F2" s="12"/>
      <c r="G2" s="11">
        <f ca="1">TODAY()</f>
        <v>46150</v>
      </c>
      <c r="H2" s="11"/>
    </row>
    <row r="3" spans="1:8" ht="6" customHeight="1" x14ac:dyDescent="0.55000000000000004">
      <c r="A3" s="10"/>
      <c r="B3" s="10"/>
      <c r="C3" s="10"/>
      <c r="D3" s="10"/>
      <c r="E3" s="10"/>
      <c r="F3" s="10"/>
      <c r="G3" s="10"/>
      <c r="H3" s="10"/>
    </row>
    <row r="4" spans="1:8" ht="19.5" customHeight="1" x14ac:dyDescent="0.55000000000000004">
      <c r="B4" s="9" t="s">
        <v>1</v>
      </c>
      <c r="C4" s="9"/>
      <c r="D4" s="9"/>
      <c r="E4" s="9"/>
      <c r="G4" s="9" t="s">
        <v>2</v>
      </c>
      <c r="H4" s="9"/>
    </row>
    <row r="5" spans="1:8" ht="15.75" customHeight="1" x14ac:dyDescent="0.55000000000000004">
      <c r="B5" s="17" t="s">
        <v>3</v>
      </c>
      <c r="C5" s="17" t="s">
        <v>4</v>
      </c>
      <c r="D5" s="17" t="s">
        <v>5</v>
      </c>
      <c r="E5" s="17" t="s">
        <v>6</v>
      </c>
      <c r="G5" s="18" t="s">
        <v>7</v>
      </c>
    </row>
    <row r="6" spans="1:8" ht="18" customHeight="1" x14ac:dyDescent="0.55000000000000004">
      <c r="B6" s="19" t="s">
        <v>8</v>
      </c>
      <c r="C6" s="20">
        <f>IFERROR(INDEX('2_Operating_Statement'!C13:N13,1,LatestAudCol),0)</f>
        <v>0</v>
      </c>
      <c r="D6" s="21" t="s">
        <v>9</v>
      </c>
      <c r="E6" s="22" t="str">
        <f>IF(IFERROR(INDEX('2_Operating_Statement'!C13:N13,1,LatestAudCol),0)&gt;0,"🟢 POSITIVE","⚠ ZERO/NEG")</f>
        <v>⚠ ZERO/NEG</v>
      </c>
      <c r="G6" s="23" t="s">
        <v>10</v>
      </c>
    </row>
    <row r="7" spans="1:8" ht="18" customHeight="1" x14ac:dyDescent="0.55000000000000004">
      <c r="B7" s="19" t="s">
        <v>11</v>
      </c>
      <c r="C7" s="20" t="str">
        <f>IFERROR(INDEX('8_Performance_Indicators'!C8:N8,1,LatestAudCol),0)</f>
        <v/>
      </c>
      <c r="D7" s="21" t="s">
        <v>12</v>
      </c>
      <c r="E7" s="22" t="str">
        <f>IF(IFERROR(INDEX('8_Performance_Indicators'!C8:N8,1,LatestAudCol),0)&gt;=0.1,"🟢 STRONG",IF(IFERROR(INDEX('8_Performance_Indicators'!C8:N8,1,LatestAudCol),0)&gt;=MinSalesGrowth,"🟡 WATCH","🔴 WEAK"))</f>
        <v>🟢 STRONG</v>
      </c>
      <c r="G7" s="23" t="s">
        <v>13</v>
      </c>
    </row>
    <row r="8" spans="1:8" ht="18" customHeight="1" x14ac:dyDescent="0.55000000000000004">
      <c r="B8" s="19" t="s">
        <v>14</v>
      </c>
      <c r="C8" s="20">
        <f>IFERROR((IFERROR(INDEX('2_Operating_Statement'!C33:N33,1,LatestAudCol),0)+IFERROR(INDEX('2_Operating_Statement'!C24:N24,1,LatestAudCol),0))/IF(IFERROR(INDEX('2_Operating_Statement'!C13:N13,1,LatestAudCol),0)=0,1,IFERROR(INDEX('2_Operating_Statement'!C13:N13,1,LatestAudCol),0)),0)</f>
        <v>0</v>
      </c>
      <c r="D8" s="21" t="s">
        <v>15</v>
      </c>
      <c r="E8" s="22" t="str">
        <f>IF(IFERROR((IFERROR(INDEX('2_Operating_Statement'!C33:N33,1,LatestAudCol),0)+IFERROR(INDEX('2_Operating_Statement'!C24:N24,1,LatestAudCol),0))/IF(IFERROR(INDEX('2_Operating_Statement'!C13:N13,1,LatestAudCol),0)=0,1,IFERROR(INDEX('2_Operating_Statement'!C13:N13,1,LatestAudCol),0)),0)&gt;=0.1,"🟢 HEALTHY",IF(IFERROR((IFERROR(INDEX('2_Operating_Statement'!C33:N33,1,LatestAudCol),0)+IFERROR(INDEX('2_Operating_Statement'!C24:N24,1,LatestAudCol),0))/IF(IFERROR(INDEX('2_Operating_Statement'!C13:N13,1,LatestAudCol),0)=0,1,IFERROR(INDEX('2_Operating_Statement'!C13:N13,1,LatestAudCol),0)),0)&gt;=0.05,"🟡 MARGINAL","🔴 THIN"))</f>
        <v>🔴 THIN</v>
      </c>
      <c r="G8" s="23" t="s">
        <v>16</v>
      </c>
    </row>
    <row r="9" spans="1:8" ht="18" customHeight="1" x14ac:dyDescent="0.55000000000000004">
      <c r="B9" s="19" t="s">
        <v>17</v>
      </c>
      <c r="C9" s="20">
        <f>IFERROR(INDEX('8_Performance_Indicators'!C10:N10,1,LatestAudCol),0)</f>
        <v>0</v>
      </c>
      <c r="D9" s="21" t="s">
        <v>18</v>
      </c>
      <c r="E9" s="22" t="str">
        <f>IF(IFERROR(INDEX('8_Performance_Indicators'!C10:N10,1,LatestAudCol),0)&gt;=0.05,"🟢 STRONG",IF(IFERROR(INDEX('8_Performance_Indicators'!C10:N10,1,LatestAudCol),0)&gt;=0.02,"🟡 OK","🔴 THIN"))</f>
        <v>🔴 THIN</v>
      </c>
      <c r="G9" s="23" t="s">
        <v>19</v>
      </c>
    </row>
    <row r="10" spans="1:8" ht="18" customHeight="1" x14ac:dyDescent="0.55000000000000004">
      <c r="B10" s="19" t="s">
        <v>20</v>
      </c>
      <c r="C10" s="20">
        <f>IFERROR(INDEX('8_Performance_Indicators'!C14:N14,1,LatestAudCol),0)</f>
        <v>0</v>
      </c>
      <c r="D10" s="21" t="s">
        <v>21</v>
      </c>
      <c r="E10" s="22" t="str">
        <f>IF(IFERROR(INDEX('8_Performance_Indicators'!C14:N14,1,LatestAudCol),0)&gt;=MinCR+0.3,"🟢 STRONG",IF(IFERROR(INDEX('8_Performance_Indicators'!C14:N14,1,LatestAudCol),0)&gt;=MinCR,"🟡 WATCH","🔴 BREACH"))</f>
        <v>🔴 BREACH</v>
      </c>
      <c r="G10" s="23" t="s">
        <v>22</v>
      </c>
    </row>
    <row r="11" spans="1:8" ht="18" customHeight="1" x14ac:dyDescent="0.55000000000000004">
      <c r="B11" s="19" t="s">
        <v>23</v>
      </c>
      <c r="C11" s="20">
        <f>IFERROR(INDEX('8_Performance_Indicators'!C19:N19,1,LatestAudCol),0)</f>
        <v>0</v>
      </c>
      <c r="D11" s="21" t="s">
        <v>24</v>
      </c>
      <c r="E11" s="22" t="str">
        <f>IF(IFERROR(INDEX('8_Performance_Indicators'!C19:N19,1,LatestAudCol),0)&lt;=0,"🔴 NEG TNW",IF(IFERROR(INDEX('8_Performance_Indicators'!C19:N19,1,LatestAudCol),0)&lt;=MaxTOLTNW-1,"🟢 LOW LVRG",IF(IFERROR(INDEX('8_Performance_Indicators'!C19:N19,1,LatestAudCol),0)&lt;=MaxTOLTNW,"🟡 WATCH","🔴 BREACH")))</f>
        <v>🔴 NEG TNW</v>
      </c>
      <c r="G11" s="23" t="s">
        <v>25</v>
      </c>
    </row>
    <row r="12" spans="1:8" ht="18" customHeight="1" x14ac:dyDescent="0.55000000000000004">
      <c r="B12" s="19" t="s">
        <v>26</v>
      </c>
      <c r="C12" s="20">
        <f>IFERROR(INDEX('8_Performance_Indicators'!C23:N23,1,LatestAudCol),0)</f>
        <v>0</v>
      </c>
      <c r="D12" s="21" t="s">
        <v>27</v>
      </c>
      <c r="E12" s="22" t="str">
        <f>IF(IFERROR(INDEX('8_Performance_Indicators'!C23:N23,1,LatestAudCol),0)&lt;=0,"🔴 NEG/NIL",IF(IFERROR(INDEX('8_Performance_Indicators'!C23:N23,1,LatestAudCol),0)&gt;=MinICR+1,"🟢 STRONG",IF(IFERROR(INDEX('8_Performance_Indicators'!C23:N23,1,LatestAudCol),0)&gt;=MinICR,"🟡 OK","🔴 BREACH")))</f>
        <v>🔴 NEG/NIL</v>
      </c>
      <c r="G12" s="23" t="s">
        <v>28</v>
      </c>
    </row>
    <row r="13" spans="1:8" ht="18" customHeight="1" x14ac:dyDescent="0.55000000000000004">
      <c r="B13" s="19" t="s">
        <v>29</v>
      </c>
      <c r="C13" s="20">
        <f>IFERROR(INDEX('4_DSCR'!C17:N17,1,LatestAudCol),0)</f>
        <v>0</v>
      </c>
      <c r="D13" s="21" t="s">
        <v>30</v>
      </c>
      <c r="E13" s="22" t="str">
        <f>IF(IFERROR(INDEX('4_DSCR'!C17:N17,1,LatestAudCol),0)&lt;=0,"🔴 NO DATA",IF(IFERROR(INDEX('4_DSCR'!C17:N17,1,LatestAudCol),0)&gt;=2,"🟢 STRONG",IF(IFERROR(INDEX('4_DSCR'!C17:N17,1,LatestAudCol),0)&gt;=MinDSCR_Any,"🟡 OK","🔴 BREACH")))</f>
        <v>🔴 NO DATA</v>
      </c>
      <c r="G13" s="23" t="s">
        <v>31</v>
      </c>
    </row>
    <row r="14" spans="1:8" ht="18" customHeight="1" x14ac:dyDescent="0.55000000000000004">
      <c r="B14" s="19" t="s">
        <v>32</v>
      </c>
      <c r="C14" s="20">
        <f>IFERROR(INDEX('8_Performance_Indicators'!C30:N30,1,LatestAudCol),0)</f>
        <v>0</v>
      </c>
      <c r="D14" s="21" t="s">
        <v>33</v>
      </c>
      <c r="E14" s="22" t="str">
        <f>IF(IFERROR(INDEX('8_Performance_Indicators'!C30:N30,1,LatestAudCol),0)=0,"—",IF(IFERROR(INDEX('8_Performance_Indicators'!C30:N30,1,LatestAudCol),0)&lt;90,"🟢 EFFICIENT",IF(IFERROR(INDEX('8_Performance_Indicators'!C30:N30,1,LatestAudCol),0)&lt;120,"🟡 WATCH","🔴 STRETCHED")))</f>
        <v>—</v>
      </c>
      <c r="G14" s="23" t="s">
        <v>34</v>
      </c>
    </row>
    <row r="15" spans="1:8" ht="18" customHeight="1" x14ac:dyDescent="0.55000000000000004">
      <c r="B15" s="19" t="s">
        <v>35</v>
      </c>
      <c r="C15" s="20">
        <f>'12_Red_Flags'!D47</f>
        <v>0</v>
      </c>
      <c r="D15" s="21" t="s">
        <v>36</v>
      </c>
      <c r="E15" s="22" t="str">
        <f>IF('12_Red_Flags'!D47=0,"🟢 CLEAN",IF('12_Red_Flags'!D47&lt;=3,"🟡 MINOR",IF('12_Red_Flags'!D47&lt;=7,"🔴 MULTIPLE","🔴 MATERIAL")))</f>
        <v>🟢 CLEAN</v>
      </c>
      <c r="G15" s="23" t="s">
        <v>37</v>
      </c>
    </row>
    <row r="16" spans="1:8" ht="6" customHeight="1" x14ac:dyDescent="0.55000000000000004"/>
    <row r="17" spans="1:8" ht="19.5" customHeight="1" x14ac:dyDescent="0.55000000000000004">
      <c r="B17" s="8" t="s">
        <v>38</v>
      </c>
      <c r="C17" s="8"/>
      <c r="D17" s="8"/>
      <c r="E17" s="8"/>
      <c r="F17" s="8"/>
      <c r="G17" s="8"/>
      <c r="H17" s="8"/>
    </row>
    <row r="18" spans="1:8" ht="18" customHeight="1" x14ac:dyDescent="0.55000000000000004">
      <c r="B18" s="25" t="s">
        <v>39</v>
      </c>
      <c r="C18" s="25" t="s">
        <v>40</v>
      </c>
      <c r="D18" s="25" t="s">
        <v>41</v>
      </c>
      <c r="E18" s="7" t="str">
        <f>IF('0B_Credit_Scoring'!D29&gt;=75,"✅ STRONG APPROVE — Credit profile robust. Recommend sanction with standard covenants.",IF('0B_Credit_Scoring'!D29&gt;=60,"⚠ APPROVE WITH CONDITIONS — Satisfactory profile with noted concerns. Enhanced monitoring required.",IF('0B_Credit_Scoring'!D29&gt;=50,"⚠ CAUTIOUS — Marginal profile. Sanction only with strong mitigants and committee approval.",IF('0B_Credit_Scoring'!D29&gt;=40,"🔴 HIGH RISK — Significant weaknesses. Defer / restructure before sanction.","🔴 DECLINE — Material concerns across multiple dimensions. Not recommended."))))</f>
        <v>🔴 DECLINE — Material concerns across multiple dimensions. Not recommended.</v>
      </c>
      <c r="F18" s="7"/>
      <c r="G18" s="7"/>
      <c r="H18" s="7"/>
    </row>
    <row r="19" spans="1:8" ht="18" customHeight="1" x14ac:dyDescent="0.55000000000000004">
      <c r="B19" s="26">
        <f>'12_Red_Flags'!D47</f>
        <v>0</v>
      </c>
      <c r="C19" s="27">
        <f>'12_Red_Flags'!D49</f>
        <v>0</v>
      </c>
      <c r="D19" s="27">
        <f>'12_Red_Flags'!D50</f>
        <v>0</v>
      </c>
      <c r="E19" s="7"/>
      <c r="F19" s="7"/>
      <c r="G19" s="7"/>
      <c r="H19" s="7"/>
    </row>
    <row r="20" spans="1:8" ht="18" customHeight="1" x14ac:dyDescent="0.55000000000000004">
      <c r="B20" s="6" t="s">
        <v>42</v>
      </c>
      <c r="C20" s="6"/>
      <c r="D20" s="6"/>
      <c r="E20" s="7"/>
      <c r="F20" s="7"/>
      <c r="G20" s="7"/>
      <c r="H20" s="7"/>
    </row>
    <row r="21" spans="1:8" ht="18" customHeight="1" x14ac:dyDescent="0.55000000000000004">
      <c r="B21" s="5">
        <f>'0B_Credit_Scoring'!G29</f>
        <v>14.1</v>
      </c>
      <c r="C21" s="5"/>
      <c r="D21" s="5"/>
      <c r="E21" s="7"/>
      <c r="F21" s="7"/>
      <c r="G21" s="7"/>
      <c r="H21" s="7"/>
    </row>
    <row r="22" spans="1:8" ht="6" customHeight="1" x14ac:dyDescent="0.55000000000000004">
      <c r="A22" s="10"/>
      <c r="B22" s="10"/>
      <c r="C22" s="10"/>
      <c r="D22" s="10"/>
      <c r="E22" s="10"/>
      <c r="F22" s="10"/>
      <c r="G22" s="10"/>
      <c r="H22" s="10"/>
    </row>
    <row r="23" spans="1:8" ht="19.5" customHeight="1" x14ac:dyDescent="0.55000000000000004">
      <c r="B23" s="4" t="s">
        <v>43</v>
      </c>
      <c r="C23" s="4"/>
      <c r="D23" s="4"/>
      <c r="E23" s="4"/>
      <c r="G23" s="3" t="s">
        <v>44</v>
      </c>
      <c r="H23" s="3"/>
    </row>
    <row r="24" spans="1:8" ht="15.75" customHeight="1" x14ac:dyDescent="0.55000000000000004">
      <c r="B24" s="28" t="str">
        <f>IF(IFERROR(INDEX('8_Performance_Indicators'!C10:N10,1,LatestAudCol),0)&gt;=0.05,"✓ PAT Margin "&amp;TEXT(IFERROR(INDEX('8_Performance_Indicators'!C10:N10,1,LatestAudCol),0),"0.0%")&amp;" — profitable operations","—")</f>
        <v>—</v>
      </c>
      <c r="C24" s="2"/>
      <c r="D24" s="2"/>
      <c r="E24" s="2"/>
      <c r="G24" s="29" t="str">
        <f>IF(IFERROR(INDEX('8_Performance_Indicators'!C14:N14,1,LatestAudCol),0)&lt;MinCR,"⚠ CR "&amp;TEXT(IFERROR(INDEX('8_Performance_Indicators'!C14:N14,1,LatestAudCol),0),"0.00x")&amp;" — liquidity breach (threshold "&amp;TEXT(MinCR,"0.00x")&amp;")","—")</f>
        <v>⚠ CR 0.00x — liquidity breach (threshold 1.17x)</v>
      </c>
    </row>
    <row r="25" spans="1:8" ht="15.75" customHeight="1" x14ac:dyDescent="0.55000000000000004">
      <c r="B25" s="28" t="str">
        <f>IF(IFERROR(INDEX('8_Performance_Indicators'!C14:N14,1,LatestAudCol),0)&gt;=MinCR+0.3,"✓ Current Ratio "&amp;TEXT(IFERROR(INDEX('8_Performance_Indicators'!C14:N14,1,LatestAudCol),0),"0.00x")&amp;" — strong liquidity","—")</f>
        <v>—</v>
      </c>
      <c r="C25" s="2"/>
      <c r="D25" s="2"/>
      <c r="E25" s="2"/>
      <c r="G25" s="29" t="str">
        <f>IF(IFERROR(INDEX('8_Performance_Indicators'!C19:N19,1,LatestAudCol),0)&gt;MaxTOLTNW,"⚠ TOL/TNW "&amp;TEXT(IFERROR(INDEX('8_Performance_Indicators'!C19:N19,1,LatestAudCol),0),"0.0x")&amp;" — high leverage","—")</f>
        <v>—</v>
      </c>
    </row>
    <row r="26" spans="1:8" ht="15.75" customHeight="1" x14ac:dyDescent="0.55000000000000004">
      <c r="B26" s="28" t="str">
        <f>IF(IFERROR(INDEX('8_Performance_Indicators'!C19:N19,1,LatestAudCol),0)&lt;2.5,"✓ TOL/TNW "&amp;TEXT(IFERROR(INDEX('8_Performance_Indicators'!C19:N19,1,LatestAudCol),0),"0.0x")&amp;" — conservative leverage","—")</f>
        <v>✓ TOL/TNW 0.0x — conservative leverage</v>
      </c>
      <c r="C26" s="2"/>
      <c r="D26" s="2"/>
      <c r="E26" s="2"/>
      <c r="G26" s="29" t="str">
        <f>IF(IFERROR(INDEX('4_DSCR'!C17:N17,1,LatestAudCol),0)&lt;MinDSCR_Any,"⚠ DSCR "&amp;TEXT(IFERROR(INDEX('4_DSCR'!C17:N17,1,LatestAudCol),0),"0.00x")&amp;" — debt coverage below minimum","—")</f>
        <v>⚠ DSCR 0.00x — debt coverage below minimum</v>
      </c>
    </row>
    <row r="27" spans="1:8" ht="15.75" customHeight="1" x14ac:dyDescent="0.55000000000000004">
      <c r="B27" s="28" t="str">
        <f>IF(IFERROR(INDEX('4_DSCR'!C17:N17,1,LatestAudCol),0)&gt;=2,"✓ DSCR "&amp;TEXT(IFERROR(INDEX('4_DSCR'!C17:N17,1,LatestAudCol),0),"0.00x")&amp;" — robust debt coverage","—")</f>
        <v>—</v>
      </c>
      <c r="C27" s="2"/>
      <c r="D27" s="2"/>
      <c r="E27" s="2"/>
      <c r="G27" s="29" t="str">
        <f>IF(IFERROR(INDEX('8_Performance_Indicators'!C10:N10,1,LatestAudCol),0)&lt;0.02,"⚠ PAT Margin "&amp;TEXT(IFERROR(INDEX('8_Performance_Indicators'!C10:N10,1,LatestAudCol),0),"0.0%")&amp;" — thin profitability","—")</f>
        <v>⚠ PAT Margin 0.0% — thin profitability</v>
      </c>
    </row>
    <row r="28" spans="1:8" ht="15.75" customHeight="1" x14ac:dyDescent="0.55000000000000004">
      <c r="B28" s="28" t="str">
        <f>IF(IFERROR(INDEX('8_Performance_Indicators'!C23:N23,1,LatestAudCol),0)&gt;=3,"✓ ICR "&amp;TEXT(IFERROR(INDEX('8_Performance_Indicators'!C23:N23,1,LatestAudCol),0),"0.00x")&amp;" — strong interest cover","—")</f>
        <v>—</v>
      </c>
      <c r="C28" s="2"/>
      <c r="D28" s="2"/>
      <c r="E28" s="2"/>
      <c r="G28" s="29" t="str">
        <f>IF(IFERROR(INDEX('8_Performance_Indicators'!C8:N8,1,LatestAudCol),0)&lt;MinSalesGrowth,"⚠ Sales Growth "&amp;TEXT(IFERROR(INDEX('8_Performance_Indicators'!C8:N8,1,LatestAudCol),0),"0.0%")&amp;" — revenue under pressure","—")</f>
        <v>—</v>
      </c>
    </row>
    <row r="29" spans="1:8" ht="7.5" customHeight="1" x14ac:dyDescent="0.55000000000000004"/>
    <row r="31" spans="1:8" ht="6" customHeight="1" x14ac:dyDescent="0.55000000000000004"/>
    <row r="32" spans="1:8" ht="21.75" customHeight="1" x14ac:dyDescent="0.55000000000000004">
      <c r="A32" s="1" t="s">
        <v>45</v>
      </c>
      <c r="B32" s="1"/>
      <c r="C32" s="1"/>
      <c r="D32" s="1"/>
      <c r="E32" s="1"/>
      <c r="F32" s="1"/>
      <c r="G32" s="1"/>
      <c r="H32" s="1"/>
    </row>
    <row r="33" spans="2:8" ht="15.75" customHeight="1" x14ac:dyDescent="0.55000000000000004">
      <c r="B33" s="17" t="s">
        <v>46</v>
      </c>
      <c r="C33" s="17" t="s">
        <v>47</v>
      </c>
      <c r="D33" s="288" t="s">
        <v>48</v>
      </c>
      <c r="E33" s="288"/>
      <c r="F33" s="288" t="s">
        <v>49</v>
      </c>
      <c r="G33" s="288"/>
      <c r="H33" s="288"/>
    </row>
    <row r="34" spans="2:8" ht="36" customHeight="1" x14ac:dyDescent="0.55000000000000004">
      <c r="B34" s="30" t="s">
        <v>50</v>
      </c>
      <c r="C34" s="31" t="str">
        <f>ChapterXIA_Status</f>
        <v>🟢 NO RESTRICTION</v>
      </c>
      <c r="D34" s="289" t="s">
        <v>51</v>
      </c>
      <c r="E34" s="289"/>
      <c r="F34" s="290" t="str">
        <f>IF(LEFT(ChapterXIA_Status,1)="🔴","🔴 Account operations restricted. Only Collection Account (T+2 sweep) permitted. NOT eligible for standard CC/OD operation. CRITICAL constraint for sanction.",IF(ChapterXIA_AggExposure&lt;10,"🟢 Aggregate exposure &lt; ₹10 Cr threshold — full operational flexibility.","🟢 Bank holds compliant share (≥10%) of aggregate banking exposure."))</f>
        <v>🟢 Aggregate exposure &lt; ₹10 Cr threshold — full operational flexibility.</v>
      </c>
      <c r="G34" s="290"/>
      <c r="H34" s="290"/>
    </row>
    <row r="35" spans="2:8" ht="36" customHeight="1" x14ac:dyDescent="0.55000000000000004">
      <c r="B35" s="30" t="s">
        <v>52</v>
      </c>
      <c r="C35" s="31" t="str">
        <f>TEXT(EWS_TotalPoints,"0")&amp;" pts"</f>
        <v>0 pts</v>
      </c>
      <c r="D35" s="289" t="s">
        <v>53</v>
      </c>
      <c r="E35" s="289"/>
      <c r="F35" s="291" t="str">
        <f>EWS_Verdict</f>
        <v>🟢 NORMAL — STANDARD MONITORING</v>
      </c>
      <c r="G35" s="291"/>
      <c r="H35" s="291"/>
    </row>
    <row r="36" spans="2:8" ht="36" customHeight="1" x14ac:dyDescent="0.55000000000000004">
      <c r="B36" s="30" t="s">
        <v>54</v>
      </c>
      <c r="C36" s="22" t="str">
        <f>TEXT(ESG_TotalScore,"0.0")&amp;" /100"</f>
        <v>50.0 /100</v>
      </c>
      <c r="D36" s="289" t="s">
        <v>55</v>
      </c>
      <c r="E36" s="289"/>
      <c r="F36" s="290" t="str">
        <f>IF(ESG_TotalScore&gt;=65,"🟢 Strong ESG profile — supports lending pricing and reputation.",IF(ESG_TotalScore&gt;=50,"🟡 Adequate ESG — monitor BRSR disclosures and transition pathway.","🔴 Weak ESG profile — climate transition risk exposure. Consider pricing premium and ESG covenants."))</f>
        <v>🟡 Adequate ESG — monitor BRSR disclosures and transition pathway.</v>
      </c>
      <c r="G36" s="290"/>
      <c r="H36" s="290"/>
    </row>
    <row r="37" spans="2:8" ht="36" customHeight="1" x14ac:dyDescent="0.55000000000000004">
      <c r="B37" s="30" t="s">
        <v>56</v>
      </c>
      <c r="C37" s="22" t="str">
        <f>"₹"&amp;TEXT(CashFlow_MinClosing,"0.00")&amp;" Cr"</f>
        <v>₹0.00 Cr</v>
      </c>
      <c r="D37" s="289" t="s">
        <v>57</v>
      </c>
      <c r="E37" s="289"/>
      <c r="F37" s="290" t="str">
        <f>IF(CashFlow_MinClosing&lt;0,"🔴 ACUTE 13-WEEK LIQUIDITY DEFICIT — Existing WC limits insufficient to bridge cash conversion cycle. Reassess MPBF &amp; DSRA structure.","🟢 Closing balance projected positive across 13-week horizon. Liquidity adequate.")</f>
        <v>🟢 Closing balance projected positive across 13-week horizon. Liquidity adequate.</v>
      </c>
      <c r="G37" s="290"/>
      <c r="H37" s="290"/>
    </row>
    <row r="38" spans="2:8" ht="36" customHeight="1" x14ac:dyDescent="0.55000000000000004">
      <c r="B38" s="30" t="s">
        <v>58</v>
      </c>
      <c r="C38" s="22" t="str">
        <f>IF(ProjectFinance="Yes","Active","N/A")</f>
        <v>N/A</v>
      </c>
      <c r="D38" s="289" t="s">
        <v>59</v>
      </c>
      <c r="E38" s="289"/>
      <c r="F38" s="290" t="str">
        <f>IF(ProjectFinance="Yes",IF(ProjectPhase="Under-Construction",IF(ProjectSector="Commercial Real Estate","⚠ Standard provisioning at 1.25% (CRE under-construction). Pricing must absorb elevated capital cost.",IF(ProjectSector="Infrastructure","⚠ Standard provisioning at 1.00% (Infrastructure under-construction). DSCR alerts suppressed pre-DCCO.","⚠ Project finance under construction — review provisioning per RBI Project Finance Directions 2025.")),"🟢 Project operational — standard provisioning (0.40%) applies."),"Not a project finance facility.")</f>
        <v>Not a project finance facility.</v>
      </c>
      <c r="G38" s="290"/>
      <c r="H38" s="290"/>
    </row>
    <row r="39" spans="2:8" ht="37.5" customHeight="1" x14ac:dyDescent="0.55000000000000004">
      <c r="B39" s="33" t="s">
        <v>60</v>
      </c>
      <c r="C39" s="34" t="str">
        <f>IF('19_Ohlson_O_Score'!O7=0,"— No data —",TEXT(Ohlson_PD_Latest,"0.0%")&amp;" PD")</f>
        <v>— No data —</v>
      </c>
      <c r="D39" s="33" t="s">
        <v>61</v>
      </c>
      <c r="F39" s="35" t="str">
        <f>IF('19_Ohlson_O_Score'!O7=0,"— Populate financials to activate Ohlson model",IF(Ohlson_PD_Latest&gt;=0.5,"🔴 SEVERE distress probability — model assigns &gt;50% PD. Override risk grade ceiling to BB or below regardless of categorical score.",IF(Ohlson_PD_Latest&gt;=0.2,"🟡 ELEVATED PD — investigate top driver flagged on 19_Ohlson_O_Score. Cross-check with categorical score for divergence.",IF(Ohlson_PD_Latest&gt;=0.038,"🟠 WATCH — PD above Ohlson optimal cutoff (0.038) but below severe. Acceptable with covenants.","🟢 HEALTHY — PD below Ohlson optimal cutoff. Probabilistic model concurs with low default risk."))))</f>
        <v>— Populate financials to activate Ohlson model</v>
      </c>
    </row>
    <row r="40" spans="2:8" ht="30" customHeight="1" x14ac:dyDescent="0.55000000000000004">
      <c r="B40" s="33" t="s">
        <v>62</v>
      </c>
      <c r="C40" s="34" t="str">
        <f>IF('20_Anomaly_Detection'!E17&lt;30,"— Need ≥30 obs",TEXT('20_Anomaly_Detection'!E17,"0")&amp;" obs")</f>
        <v>— Need ≥30 obs</v>
      </c>
      <c r="D40" s="33" t="s">
        <v>63</v>
      </c>
      <c r="F40" s="35" t="str">
        <f>IF('20_Anomaly_Detection'!E17&lt;30,"⚪ Insufficient sample — paste ≥30 monetary entries into 20_Anomaly_Detection col M",Anomaly_Benford_Verdict&amp;" — see 20_Anomaly_Detection Section A")</f>
        <v>⚪ Insufficient sample — paste ≥30 monetary entries into 20_Anomaly_Detection col M</v>
      </c>
    </row>
    <row r="41" spans="2:8" ht="30" customHeight="1" x14ac:dyDescent="0.55000000000000004">
      <c r="B41" s="33" t="s">
        <v>64</v>
      </c>
      <c r="C41" s="34" t="str">
        <f>Anomaly_RollingZ_Count&amp;"/6 metrics"</f>
        <v>0/6 metrics</v>
      </c>
      <c r="D41" s="33" t="s">
        <v>65</v>
      </c>
      <c r="F41" s="35" t="str">
        <f>Anomaly_RollingZ_Verdict&amp;" — see 20_Anomaly_Detection Section B"</f>
        <v>🟢 No statistical outliers — see 20_Anomaly_Detection Section B</v>
      </c>
    </row>
    <row r="42" spans="2:8" ht="30" customHeight="1" x14ac:dyDescent="0.55000000000000004">
      <c r="B42" s="33" t="s">
        <v>66</v>
      </c>
      <c r="C42" s="34" t="str">
        <f>TEXT('20_Anomaly_Detection'!F42,"0")&amp;"/5 signals"</f>
        <v>0/5 signals</v>
      </c>
      <c r="D42" s="33" t="s">
        <v>67</v>
      </c>
      <c r="F42" s="35" t="str">
        <f>Anomaly_Earnings_Verdict&amp;" — see 20_Anomaly_Detection Section C"</f>
        <v>🟢 No manipulation signature detected — see 20_Anomaly_Detection Section C</v>
      </c>
    </row>
    <row r="43" spans="2:8" ht="30" customHeight="1" x14ac:dyDescent="0.55000000000000004">
      <c r="B43" s="33" t="s">
        <v>68</v>
      </c>
      <c r="C43" s="34" t="str">
        <f>TEXT(Cascade_DSCR,"0.00x")</f>
        <v>0.00x</v>
      </c>
      <c r="D43" s="34" t="str">
        <f>Cascade_Selected_Scenario&amp;" @ "&amp;TEXT(Cascade_Severity,"0%")</f>
        <v>Brent Oil Shock @ 100%</v>
      </c>
      <c r="F43" s="35" t="str">
        <f>Cascade_Verdict&amp;" — see 15_Stress_Test Section F.4 | Breakpoint: "&amp;Cascade_Breakpoint</f>
        <v>🔴 DEBT SERVICE FAILURE — see 15_Stress_Test Section F.4 | Breakpoint: ⚠ Insufficient data</v>
      </c>
    </row>
    <row r="44" spans="2:8" ht="37.5" customHeight="1" x14ac:dyDescent="0.55000000000000004">
      <c r="B44" s="33" t="s">
        <v>69</v>
      </c>
      <c r="C44" s="36" t="str">
        <f>Min_Projected_Cash</f>
        <v>⚠ Paste ≥8 weeks of historical receipts/disbursements first</v>
      </c>
      <c r="D44" s="33" t="s">
        <v>70</v>
      </c>
      <c r="F44" s="35" t="str">
        <f>IF(LEFT(Bankable_Breach_Week,1)="🔴",Bankable_Breach_Week,IF(LEFT(Liquidity_Breach_Week,1)="✓","🟢 "&amp;Liquidity_Breach_Week,"🟠 "&amp;Liquidity_Breach_Week))</f>
        <v>🟢 ✓ No cash-negative week in 13W horizon</v>
      </c>
    </row>
    <row r="45" spans="2:8" ht="30" customHeight="1" x14ac:dyDescent="0.55000000000000004">
      <c r="B45" s="33" t="s">
        <v>71</v>
      </c>
      <c r="C45" s="34" t="str">
        <f ca="1">IF(NOT(ISNUMBER(Forecast_Sales_Yr1)),"— Need ≥4 yrs history",TEXT(Forecast_Sales_Yr1,"#,##0")&amp;" Cr")</f>
        <v>— Need ≥4 yrs history</v>
      </c>
      <c r="D45" s="33" t="s">
        <v>72</v>
      </c>
      <c r="F45" s="35" t="str">
        <f ca="1">IF(NOT(ISNUMBER(Forecast_Sales_Yr1)),"⚪ Insufficient annual history (need ≥4 audited yrs)","Forecast YoY: "&amp;TEXT(IFERROR(Forecast_Sales_Yr1/INDEX('2_Operating_Statement'!C13:N13,1,LatestAudCol)-1,0),"+0.0%;-0.0%")&amp;" — see 21_Forecasting_Engine Section A")</f>
        <v>⚪ Insufficient annual history (need ≥4 audited yrs)</v>
      </c>
    </row>
    <row r="46" spans="2:8" ht="30" customHeight="1" x14ac:dyDescent="0.55000000000000004">
      <c r="B46" s="33" t="s">
        <v>73</v>
      </c>
      <c r="C46" s="34" t="str">
        <f>"See sheet 22_Credit_Memorandum"</f>
        <v>See sheet 22_Credit_Memorandum</v>
      </c>
      <c r="D46" s="33" t="s">
        <v>74</v>
      </c>
      <c r="F46" s="37" t="str">
        <f>IFERROR(IF(OR(IFERROR(Ohlson_PD_Latest,0)&gt;=0.5,LEFT(IFERROR(Anomaly_Master_Verdict,""),1)="🔴",IFERROR(Cascade_DSCR,99)&lt;1,LEFT(IFERROR(Bankable_Breach_Week,""),1)="🔴"),"🔴 DECLINE recommended",IF(OR(IFERROR(Ohlson_PD_Latest,0)&gt;=0.2,LEFT(IFERROR(Anomaly_Master_Verdict,""),1)="🟠",IFERROR(Cascade_DSCR,99)&lt;MinDSCR_Any,LEFT(IFERROR(EWS_Verdict,""),1)="🚨"),"🟠 APPROVE WITH COVENANTS",IF(OR(IFERROR(Cascade_DSCR,99)&lt;1.5,LEFT(IFERROR(EWS_Verdict,""),1)="⚠"),"🟡 APPROVE WITH STANDARD COVENANTS","🟢 APPROVE at standard terms"))),"⚪ Awaiting data")</f>
        <v>🔴 DECLINE recommended</v>
      </c>
    </row>
  </sheetData>
  <mergeCells count="33">
    <mergeCell ref="D37:E37"/>
    <mergeCell ref="F37:H37"/>
    <mergeCell ref="D38:E38"/>
    <mergeCell ref="F38:H38"/>
    <mergeCell ref="D34:E34"/>
    <mergeCell ref="F34:H34"/>
    <mergeCell ref="D35:E35"/>
    <mergeCell ref="F35:H35"/>
    <mergeCell ref="D36:E36"/>
    <mergeCell ref="F36:H36"/>
    <mergeCell ref="C26:E26"/>
    <mergeCell ref="C27:E27"/>
    <mergeCell ref="C28:E28"/>
    <mergeCell ref="A32:H32"/>
    <mergeCell ref="D33:E33"/>
    <mergeCell ref="F33:H33"/>
    <mergeCell ref="A22:H22"/>
    <mergeCell ref="B23:E23"/>
    <mergeCell ref="G23:H23"/>
    <mergeCell ref="C24:E24"/>
    <mergeCell ref="C25:E25"/>
    <mergeCell ref="A3:H3"/>
    <mergeCell ref="B4:E4"/>
    <mergeCell ref="G4:H4"/>
    <mergeCell ref="B17:H17"/>
    <mergeCell ref="E18:H21"/>
    <mergeCell ref="B20:D20"/>
    <mergeCell ref="B21:D21"/>
    <mergeCell ref="A1:H1"/>
    <mergeCell ref="A2:B2"/>
    <mergeCell ref="C2:D2"/>
    <mergeCell ref="E2:F2"/>
    <mergeCell ref="G2:H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zoomScaleNormal="100" workbookViewId="0">
      <selection sqref="A1:I1"/>
    </sheetView>
  </sheetViews>
  <sheetFormatPr defaultColWidth="8.68359375" defaultRowHeight="14.4" x14ac:dyDescent="0.55000000000000004"/>
  <cols>
    <col min="1" max="1" width="2" customWidth="1"/>
    <col min="2" max="2" width="30" customWidth="1"/>
    <col min="3" max="3" width="10" customWidth="1"/>
    <col min="4" max="6" width="12" customWidth="1"/>
    <col min="7" max="7" width="16" customWidth="1"/>
    <col min="8" max="8" width="30" customWidth="1"/>
    <col min="9" max="9" width="2" customWidth="1"/>
  </cols>
  <sheetData>
    <row r="1" spans="1:9" ht="31.5" customHeight="1" x14ac:dyDescent="0.55000000000000004">
      <c r="A1" s="14" t="s">
        <v>75</v>
      </c>
      <c r="B1" s="14"/>
      <c r="C1" s="14"/>
      <c r="D1" s="14"/>
      <c r="E1" s="14"/>
      <c r="F1" s="14"/>
      <c r="G1" s="14"/>
      <c r="H1" s="14"/>
      <c r="I1" s="14"/>
    </row>
    <row r="2" spans="1:9" ht="18" customHeight="1" x14ac:dyDescent="0.55000000000000004">
      <c r="A2" s="292" t="str">
        <f>IF(BorrowerName="","[Complete borrower name in 0_Setup]","Borrower: "&amp;BorrowerName&amp;"  |  Industry: "&amp;IF(IndustryName="","—",IndustryName)&amp;"  |  Proposal: "&amp;IF(ProposalType="","—",ProposalType))</f>
        <v>[Complete borrower name in 0_Setup]</v>
      </c>
      <c r="B2" s="292"/>
      <c r="C2" s="292"/>
      <c r="D2" s="292"/>
      <c r="E2" s="292"/>
      <c r="F2" s="292"/>
      <c r="G2" s="292"/>
      <c r="H2" s="292"/>
      <c r="I2" s="292"/>
    </row>
    <row r="3" spans="1:9" ht="6" customHeight="1" x14ac:dyDescent="0.55000000000000004">
      <c r="A3" s="10"/>
      <c r="B3" s="10"/>
      <c r="C3" s="10"/>
      <c r="D3" s="10"/>
      <c r="E3" s="10"/>
      <c r="F3" s="10"/>
      <c r="G3" s="10"/>
      <c r="H3" s="10"/>
      <c r="I3" s="10"/>
    </row>
    <row r="4" spans="1:9" ht="15.75" customHeight="1" x14ac:dyDescent="0.55000000000000004">
      <c r="B4" s="17" t="s">
        <v>76</v>
      </c>
      <c r="C4" s="17" t="s">
        <v>77</v>
      </c>
      <c r="D4" s="17" t="s">
        <v>78</v>
      </c>
      <c r="E4" s="17" t="s">
        <v>79</v>
      </c>
      <c r="F4" s="17" t="s">
        <v>80</v>
      </c>
      <c r="G4" s="17" t="s">
        <v>81</v>
      </c>
      <c r="H4" s="17" t="s">
        <v>82</v>
      </c>
    </row>
    <row r="5" spans="1:9" ht="12" customHeight="1" x14ac:dyDescent="0.55000000000000004"/>
    <row r="6" spans="1:9" ht="19.5" customHeight="1" x14ac:dyDescent="0.55000000000000004">
      <c r="B6" s="38" t="s">
        <v>83</v>
      </c>
      <c r="C6" s="39">
        <v>0.14000000000000001</v>
      </c>
      <c r="D6" s="40">
        <f>IFERROR((IF(IFERROR(INDEX('8_Performance_Indicators'!C9:N9,1,LatestAudCol),0)&gt;=0.15,10,IF(IFERROR(INDEX('8_Performance_Indicators'!C9:N9,1,LatestAudCol),0)&gt;=0.1,8,IF(IFERROR(INDEX('8_Performance_Indicators'!C9:N9,1,LatestAudCol),0)&gt;=0.07,6,IF(IFERROR(INDEX('8_Performance_Indicators'!C9:N9,1,LatestAudCol),0)&gt;=0.05,4,IF(IFERROR(INDEX('8_Performance_Indicators'!C9:N9,1,LatestAudCol),0)&gt;=0.03,2,0)))))+IF(IFERROR(INDEX('8_Performance_Indicators'!C10:N10,1,LatestAudCol),0)&gt;=0.08,10,IF(IFERROR(INDEX('8_Performance_Indicators'!C10:N10,1,LatestAudCol),0)&gt;=0.05,8,IF(IFERROR(INDEX('8_Performance_Indicators'!C10:N10,1,LatestAudCol),0)&gt;=0.03,6,IF(IFERROR(INDEX('8_Performance_Indicators'!C10:N10,1,LatestAudCol),0)&gt;=0.02,4,IF(IFERROR(INDEX('8_Performance_Indicators'!C10:N10,1,LatestAudCol),0)&gt;=0.01,2,0))))))/2,0)</f>
        <v>0</v>
      </c>
      <c r="E6" s="41"/>
      <c r="F6" s="42">
        <f t="shared" ref="F6:F16" si="0">IF(E6&lt;&gt;"",E6,D6)</f>
        <v>0</v>
      </c>
      <c r="G6" s="43">
        <f t="shared" ref="G6:G16" si="1">F6*C6</f>
        <v>0</v>
      </c>
      <c r="H6" s="23" t="s">
        <v>84</v>
      </c>
    </row>
    <row r="7" spans="1:9" ht="19.5" customHeight="1" x14ac:dyDescent="0.55000000000000004">
      <c r="B7" s="38" t="s">
        <v>85</v>
      </c>
      <c r="C7" s="39">
        <v>0.11</v>
      </c>
      <c r="D7" s="40">
        <f>IFERROR((IF(IFERROR(INDEX('8_Performance_Indicators'!C14:N14,1,LatestAudCol),0)&gt;=2,10,IF(IFERROR(INDEX('8_Performance_Indicators'!C14:N14,1,LatestAudCol),0)&gt;=1.5,8,IF(IFERROR(INDEX('8_Performance_Indicators'!C14:N14,1,LatestAudCol),0)&gt;=1.33,6,IF(IFERROR(INDEX('8_Performance_Indicators'!C14:N14,1,LatestAudCol),0)&gt;=1.17,4,IF(IFERROR(INDEX('8_Performance_Indicators'!C14:N14,1,LatestAudCol),0)&gt;=1,2,0)))))+IF(IFERROR(INDEX('8_Performance_Indicators'!C15:N15,1,LatestAudCol),0)&gt;=1.5,10,IF(IFERROR(INDEX('8_Performance_Indicators'!C15:N15,1,LatestAudCol),0)&gt;=1.2,8,IF(IFERROR(INDEX('8_Performance_Indicators'!C15:N15,1,LatestAudCol),0)&gt;=1,6,IF(IFERROR(INDEX('8_Performance_Indicators'!C15:N15,1,LatestAudCol),0)&gt;=0.8,4,IF(IFERROR(INDEX('8_Performance_Indicators'!C15:N15,1,LatestAudCol),0)&gt;=0.6,2,0))))))/2,0)</f>
        <v>0</v>
      </c>
      <c r="E7" s="41"/>
      <c r="F7" s="42">
        <f t="shared" si="0"/>
        <v>0</v>
      </c>
      <c r="G7" s="43">
        <f t="shared" si="1"/>
        <v>0</v>
      </c>
      <c r="H7" s="23" t="s">
        <v>86</v>
      </c>
    </row>
    <row r="8" spans="1:9" ht="19.5" customHeight="1" x14ac:dyDescent="0.55000000000000004">
      <c r="B8" s="38" t="s">
        <v>87</v>
      </c>
      <c r="C8" s="39">
        <v>0.11</v>
      </c>
      <c r="D8" s="40">
        <f>IFERROR(IF(IFERROR(INDEX('8_Performance_Indicators'!C19:N19,1,LatestAudCol),0)&lt;=0,0,IF(10-IFERROR(INDEX('8_Performance_Indicators'!C19:N19,1,LatestAudCol),0)*2&gt;=7,10,IF(10-IFERROR(INDEX('8_Performance_Indicators'!C19:N19,1,LatestAudCol),0)*2&gt;=5,8,IF(10-IFERROR(INDEX('8_Performance_Indicators'!C19:N19,1,LatestAudCol),0)*2&gt;=3,6,IF(10-IFERROR(INDEX('8_Performance_Indicators'!C19:N19,1,LatestAudCol),0)*2&gt;=1,4,IF(10-IFERROR(INDEX('8_Performance_Indicators'!C19:N19,1,LatestAudCol),0)*2&gt;=-1,2,0)))))),0)</f>
        <v>0</v>
      </c>
      <c r="E8" s="41"/>
      <c r="F8" s="42">
        <f t="shared" si="0"/>
        <v>0</v>
      </c>
      <c r="G8" s="43">
        <f t="shared" si="1"/>
        <v>0</v>
      </c>
      <c r="H8" s="23" t="s">
        <v>88</v>
      </c>
    </row>
    <row r="9" spans="1:9" ht="19.5" customHeight="1" x14ac:dyDescent="0.55000000000000004">
      <c r="B9" s="38" t="s">
        <v>89</v>
      </c>
      <c r="C9" s="39">
        <v>0.14000000000000001</v>
      </c>
      <c r="D9" s="40">
        <f>IFERROR((IF(IFERROR(INDEX('4_DSCR'!C17:N17,1,LatestAudCol),0)&gt;=2.5,10,IF(IFERROR(INDEX('4_DSCR'!C17:N17,1,LatestAudCol),0)&gt;=2,8,IF(IFERROR(INDEX('4_DSCR'!C17:N17,1,LatestAudCol),0)&gt;=1.75,6,IF(IFERROR(INDEX('4_DSCR'!C17:N17,1,LatestAudCol),0)&gt;=1.25,4,IF(IFERROR(INDEX('4_DSCR'!C17:N17,1,LatestAudCol),0)&gt;=1,2,0)))))+IF(IFERROR(INDEX('8_Performance_Indicators'!C23:N23,1,LatestAudCol),0)&gt;=5,10,IF(IFERROR(INDEX('8_Performance_Indicators'!C23:N23,1,LatestAudCol),0)&gt;=4,8,IF(IFERROR(INDEX('8_Performance_Indicators'!C23:N23,1,LatestAudCol),0)&gt;=3,6,IF(IFERROR(INDEX('8_Performance_Indicators'!C23:N23,1,LatestAudCol),0)&gt;=1.5,4,IF(IFERROR(INDEX('8_Performance_Indicators'!C23:N23,1,LatestAudCol),0)&gt;=1,2,0))))))/2,0)</f>
        <v>0</v>
      </c>
      <c r="E9" s="41"/>
      <c r="F9" s="42">
        <f t="shared" si="0"/>
        <v>0</v>
      </c>
      <c r="G9" s="43">
        <f t="shared" si="1"/>
        <v>0</v>
      </c>
      <c r="H9" s="23" t="s">
        <v>90</v>
      </c>
    </row>
    <row r="10" spans="1:9" ht="19.5" customHeight="1" x14ac:dyDescent="0.55000000000000004">
      <c r="B10" s="38" t="s">
        <v>91</v>
      </c>
      <c r="C10" s="39">
        <v>0.08</v>
      </c>
      <c r="D10" s="40">
        <f>IF(E14&lt;&gt;"",E14,5)</f>
        <v>5</v>
      </c>
      <c r="E10" s="41"/>
      <c r="F10" s="42">
        <f t="shared" si="0"/>
        <v>5</v>
      </c>
      <c r="G10" s="43">
        <f t="shared" si="1"/>
        <v>0.4</v>
      </c>
      <c r="H10" s="23" t="s">
        <v>92</v>
      </c>
    </row>
    <row r="11" spans="1:9" ht="19.5" customHeight="1" x14ac:dyDescent="0.55000000000000004">
      <c r="B11" s="38" t="s">
        <v>93</v>
      </c>
      <c r="C11" s="39">
        <v>0.08</v>
      </c>
      <c r="D11" s="40">
        <f>IFERROR(IF('0_Setup'!C68="Positive",9,IF('0_Setup'!C68="Stable",7,IF('0_Setup'!C68="Cautious",5,IF('0_Setup'!C68="Negative",3,5)))),5)</f>
        <v>5</v>
      </c>
      <c r="E11" s="41"/>
      <c r="F11" s="42">
        <f t="shared" si="0"/>
        <v>5</v>
      </c>
      <c r="G11" s="43">
        <f t="shared" si="1"/>
        <v>0.4</v>
      </c>
      <c r="H11" s="23" t="s">
        <v>94</v>
      </c>
    </row>
    <row r="12" spans="1:9" ht="19.5" customHeight="1" x14ac:dyDescent="0.55000000000000004">
      <c r="B12" s="38" t="s">
        <v>95</v>
      </c>
      <c r="C12" s="39">
        <v>0.1</v>
      </c>
      <c r="D12" s="40">
        <f>IFERROR(MAX(0,10-COUNTIF('12_Red_Flags'!F5:F44,"⚠*")*1.2),0)</f>
        <v>1.5999999999999996</v>
      </c>
      <c r="E12" s="41"/>
      <c r="F12" s="42">
        <f t="shared" si="0"/>
        <v>1.5999999999999996</v>
      </c>
      <c r="G12" s="43">
        <f t="shared" si="1"/>
        <v>0.15999999999999998</v>
      </c>
      <c r="H12" s="23" t="s">
        <v>96</v>
      </c>
    </row>
    <row r="13" spans="1:9" ht="19.5" customHeight="1" x14ac:dyDescent="0.55000000000000004">
      <c r="B13" s="38" t="s">
        <v>97</v>
      </c>
      <c r="C13" s="39">
        <v>0.08</v>
      </c>
      <c r="D13" s="40">
        <f>IFERROR(IF(365/IFERROR(INDEX('8_Performance_Indicators'!C30:N30,1,LatestAudCol),0)&gt;=6,10,IF(365/IFERROR(INDEX('8_Performance_Indicators'!C30:N30,1,LatestAudCol),0)&gt;=4,8,IF(365/IFERROR(INDEX('8_Performance_Indicators'!C30:N30,1,LatestAudCol),0)&gt;=3,6,IF(365/IFERROR(INDEX('8_Performance_Indicators'!C30:N30,1,LatestAudCol),0)&gt;=2,4,IF(365/IFERROR(INDEX('8_Performance_Indicators'!C30:N30,1,LatestAudCol),0)&gt;=1,2,0))))),0)</f>
        <v>0</v>
      </c>
      <c r="E13" s="41"/>
      <c r="F13" s="42">
        <f t="shared" si="0"/>
        <v>0</v>
      </c>
      <c r="G13" s="43">
        <f t="shared" si="1"/>
        <v>0</v>
      </c>
      <c r="H13" s="23" t="s">
        <v>98</v>
      </c>
    </row>
    <row r="14" spans="1:9" ht="19.5" customHeight="1" x14ac:dyDescent="0.55000000000000004">
      <c r="B14" s="38" t="s">
        <v>99</v>
      </c>
      <c r="C14" s="39">
        <v>7.0000000000000007E-2</v>
      </c>
      <c r="D14" s="40">
        <f>IFERROR(IF(IFERROR(INDEX('3_Balance_Sheet'!C52:N52,1,LatestAudCol),0)/IF(IFERROR(INDEX('3_Balance_Sheet'!C52:N52,1,LatestAudCol),0)+IFERROR(INDEX('3_Balance_Sheet'!C39:N39,1,LatestAudCol),0)=0,1,IFERROR(INDEX('3_Balance_Sheet'!C52:N52,1,LatestAudCol),0)+IFERROR(INDEX('3_Balance_Sheet'!C39:N39,1,LatestAudCol),0))&gt;=0.5,10,IF(IFERROR(INDEX('3_Balance_Sheet'!C52:N52,1,LatestAudCol),0)/IF(IFERROR(INDEX('3_Balance_Sheet'!C52:N52,1,LatestAudCol),0)+IFERROR(INDEX('3_Balance_Sheet'!C39:N39,1,LatestAudCol),0)=0,1,IFERROR(INDEX('3_Balance_Sheet'!C52:N52,1,LatestAudCol),0)+IFERROR(INDEX('3_Balance_Sheet'!C39:N39,1,LatestAudCol),0))&gt;=0.4,8,IF(IFERROR(INDEX('3_Balance_Sheet'!C52:N52,1,LatestAudCol),0)/IF(IFERROR(INDEX('3_Balance_Sheet'!C52:N52,1,LatestAudCol),0)+IFERROR(INDEX('3_Balance_Sheet'!C39:N39,1,LatestAudCol),0)=0,1,IFERROR(INDEX('3_Balance_Sheet'!C52:N52,1,LatestAudCol),0)+IFERROR(INDEX('3_Balance_Sheet'!C39:N39,1,LatestAudCol),0))&gt;=0.3,6,IF(IFERROR(INDEX('3_Balance_Sheet'!C52:N52,1,LatestAudCol),0)/IF(IFERROR(INDEX('3_Balance_Sheet'!C52:N52,1,LatestAudCol),0)+IFERROR(INDEX('3_Balance_Sheet'!C39:N39,1,LatestAudCol),0)=0,1,IFERROR(INDEX('3_Balance_Sheet'!C52:N52,1,LatestAudCol),0)+IFERROR(INDEX('3_Balance_Sheet'!C39:N39,1,LatestAudCol),0))&gt;=0.25,4,IF(IFERROR(INDEX('3_Balance_Sheet'!C52:N52,1,LatestAudCol),0)/IF(IFERROR(INDEX('3_Balance_Sheet'!C52:N52,1,LatestAudCol),0)+IFERROR(INDEX('3_Balance_Sheet'!C39:N39,1,LatestAudCol),0)=0,1,IFERROR(INDEX('3_Balance_Sheet'!C52:N52,1,LatestAudCol),0)+IFERROR(INDEX('3_Balance_Sheet'!C39:N39,1,LatestAudCol),0))&gt;=0.2,2,0))))),0)</f>
        <v>0</v>
      </c>
      <c r="E14" s="41"/>
      <c r="F14" s="42">
        <f t="shared" si="0"/>
        <v>0</v>
      </c>
      <c r="G14" s="43">
        <f t="shared" si="1"/>
        <v>0</v>
      </c>
      <c r="H14" s="23" t="s">
        <v>100</v>
      </c>
    </row>
    <row r="15" spans="1:9" ht="19.5" customHeight="1" x14ac:dyDescent="0.55000000000000004">
      <c r="B15" s="38" t="s">
        <v>101</v>
      </c>
      <c r="C15" s="39">
        <v>0.04</v>
      </c>
      <c r="D15" s="40">
        <f>IF(E23&lt;&gt;"",E23,5)</f>
        <v>5</v>
      </c>
      <c r="E15" s="41"/>
      <c r="F15" s="42">
        <f t="shared" si="0"/>
        <v>5</v>
      </c>
      <c r="G15" s="43">
        <f t="shared" si="1"/>
        <v>0.2</v>
      </c>
      <c r="H15" s="23" t="s">
        <v>102</v>
      </c>
    </row>
    <row r="16" spans="1:9" ht="21.75" customHeight="1" x14ac:dyDescent="0.55000000000000004">
      <c r="B16" s="38" t="s">
        <v>103</v>
      </c>
      <c r="C16" s="39">
        <v>0.05</v>
      </c>
      <c r="D16" s="40">
        <f>IFERROR(ESG_TotalScore/10,5)</f>
        <v>5</v>
      </c>
      <c r="E16" s="41"/>
      <c r="F16" s="42">
        <f t="shared" si="0"/>
        <v>5</v>
      </c>
      <c r="G16" s="43">
        <f t="shared" si="1"/>
        <v>0.25</v>
      </c>
      <c r="H16" s="23" t="s">
        <v>104</v>
      </c>
    </row>
    <row r="26" spans="1:9" ht="6" customHeight="1" x14ac:dyDescent="0.55000000000000004">
      <c r="A26" s="10"/>
      <c r="B26" s="10"/>
      <c r="C26" s="10"/>
      <c r="D26" s="10"/>
      <c r="E26" s="10"/>
      <c r="F26" s="10"/>
      <c r="G26" s="10"/>
      <c r="H26" s="10"/>
      <c r="I26" s="10"/>
    </row>
    <row r="27" spans="1:9" ht="15.75" customHeight="1" x14ac:dyDescent="0.55000000000000004">
      <c r="B27" s="8" t="s">
        <v>105</v>
      </c>
      <c r="C27" s="8"/>
      <c r="D27" s="8"/>
      <c r="E27" s="8"/>
      <c r="F27" s="17" t="s">
        <v>80</v>
      </c>
      <c r="G27" s="17" t="s">
        <v>81</v>
      </c>
      <c r="H27" s="18" t="s">
        <v>106</v>
      </c>
    </row>
    <row r="28" spans="1:9" ht="15.75" customHeight="1" x14ac:dyDescent="0.55000000000000004">
      <c r="F28" s="44" t="s">
        <v>107</v>
      </c>
      <c r="G28" s="44" t="s">
        <v>108</v>
      </c>
      <c r="H28" s="44" t="s">
        <v>109</v>
      </c>
    </row>
    <row r="29" spans="1:9" ht="27.75" customHeight="1" x14ac:dyDescent="0.55000000000000004">
      <c r="F29" s="45">
        <f>SUM(C6:C16)</f>
        <v>1</v>
      </c>
      <c r="G29" s="46">
        <f>SUM(G6:G16)*10</f>
        <v>14.1</v>
      </c>
      <c r="H29" s="47" t="str">
        <f>IF(G29&gt;=80,"AAA — Excellent",IF(G29&gt;=70,"AA — Strong",IF(G29&gt;=60,"A — Good",IF(G29&gt;=50,"BBB — Satisfactory",IF(G29&gt;=40,"BB — Marginal","B/C — Weak / Decline")))))</f>
        <v>B/C — Weak / Decline</v>
      </c>
    </row>
    <row r="30" spans="1:9" ht="21.75" customHeight="1" x14ac:dyDescent="0.55000000000000004">
      <c r="F30" s="7" t="str">
        <f>IF(G29&gt;=75,"✅ STRONG APPROVE — Recommend full sanction with standard conditions",IF(G29&gt;=60,"⚠ APPROVE WITH CONDITIONS — Enhanced monitoring + specific covenants required",IF(G29&gt;=50,"⚠ CAUTIOUS — Committee discretion; strong mitigants needed",IF(G29&gt;=40,"🔴 HIGH RISK — Defer for improvement or partial sanction only","🔴 DECLINE — Material weaknesses; not recommended without major restructure"))))</f>
        <v>🔴 DECLINE — Material weaknesses; not recommended without major restructure</v>
      </c>
      <c r="G30" s="7"/>
      <c r="H30" s="7"/>
    </row>
    <row r="31" spans="1:9" ht="12" customHeight="1" x14ac:dyDescent="0.55000000000000004">
      <c r="B31" s="293" t="s">
        <v>110</v>
      </c>
      <c r="C31" s="293"/>
      <c r="D31" s="293"/>
      <c r="E31" s="293"/>
      <c r="F31" s="293"/>
      <c r="G31" s="293"/>
      <c r="H31" s="293"/>
      <c r="I31" s="293"/>
    </row>
  </sheetData>
  <mergeCells count="7">
    <mergeCell ref="F30:H30"/>
    <mergeCell ref="B31:I31"/>
    <mergeCell ref="A1:I1"/>
    <mergeCell ref="A2:I2"/>
    <mergeCell ref="A3:I3"/>
    <mergeCell ref="A26:I26"/>
    <mergeCell ref="B27:E2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F88"/>
  <sheetViews>
    <sheetView zoomScaleNormal="100" workbookViewId="0">
      <selection sqref="A1:F1"/>
    </sheetView>
  </sheetViews>
  <sheetFormatPr defaultColWidth="8.68359375" defaultRowHeight="14.4" x14ac:dyDescent="0.55000000000000004"/>
  <cols>
    <col min="1" max="1" width="50" customWidth="1"/>
    <col min="2" max="2" width="4" customWidth="1"/>
    <col min="3" max="5" width="18" customWidth="1"/>
    <col min="6" max="6" width="50" customWidth="1"/>
  </cols>
  <sheetData>
    <row r="1" spans="1:6" ht="25.5" customHeight="1" x14ac:dyDescent="0.55000000000000004">
      <c r="A1" s="294" t="s">
        <v>111</v>
      </c>
      <c r="B1" s="294"/>
      <c r="C1" s="294"/>
      <c r="D1" s="294"/>
      <c r="E1" s="294"/>
      <c r="F1" s="294"/>
    </row>
    <row r="2" spans="1:6" ht="18" customHeight="1" x14ac:dyDescent="0.55000000000000004">
      <c r="A2" s="295" t="s">
        <v>112</v>
      </c>
      <c r="B2" s="295"/>
      <c r="C2" s="295"/>
      <c r="D2" s="295"/>
      <c r="E2" s="295"/>
      <c r="F2" s="295"/>
    </row>
    <row r="4" spans="1:6" ht="21.75" customHeight="1" x14ac:dyDescent="0.55000000000000004">
      <c r="A4" s="296" t="s">
        <v>113</v>
      </c>
      <c r="B4" s="296"/>
      <c r="C4" s="296"/>
      <c r="D4" s="296"/>
      <c r="E4" s="296"/>
      <c r="F4" s="296"/>
    </row>
    <row r="5" spans="1:6" ht="15" customHeight="1" x14ac:dyDescent="0.55000000000000004">
      <c r="A5" s="49" t="s">
        <v>114</v>
      </c>
      <c r="B5" s="50" t="s">
        <v>115</v>
      </c>
      <c r="C5" s="297"/>
      <c r="D5" s="297"/>
      <c r="E5" s="297"/>
      <c r="F5" s="52" t="s">
        <v>116</v>
      </c>
    </row>
    <row r="6" spans="1:6" ht="15" customHeight="1" x14ac:dyDescent="0.55000000000000004">
      <c r="A6" s="49" t="s">
        <v>117</v>
      </c>
      <c r="B6" s="50" t="s">
        <v>115</v>
      </c>
      <c r="C6" s="297"/>
      <c r="D6" s="297"/>
      <c r="E6" s="297"/>
      <c r="F6" s="52" t="s">
        <v>118</v>
      </c>
    </row>
    <row r="7" spans="1:6" ht="15" customHeight="1" x14ac:dyDescent="0.55000000000000004">
      <c r="A7" s="49" t="s">
        <v>119</v>
      </c>
      <c r="B7" s="50" t="s">
        <v>115</v>
      </c>
      <c r="C7" s="297"/>
      <c r="D7" s="297"/>
      <c r="E7" s="297"/>
      <c r="F7" s="52" t="s">
        <v>120</v>
      </c>
    </row>
    <row r="8" spans="1:6" ht="15" customHeight="1" x14ac:dyDescent="0.55000000000000004">
      <c r="A8" s="49" t="s">
        <v>121</v>
      </c>
      <c r="B8" s="50" t="s">
        <v>115</v>
      </c>
      <c r="C8" s="297"/>
      <c r="D8" s="297"/>
      <c r="E8" s="297"/>
      <c r="F8" s="52" t="s">
        <v>122</v>
      </c>
    </row>
    <row r="9" spans="1:6" ht="15" customHeight="1" x14ac:dyDescent="0.55000000000000004">
      <c r="A9" s="49" t="s">
        <v>123</v>
      </c>
      <c r="B9" s="50" t="s">
        <v>115</v>
      </c>
      <c r="C9" s="297"/>
      <c r="D9" s="297"/>
      <c r="E9" s="297"/>
      <c r="F9" s="52" t="s">
        <v>124</v>
      </c>
    </row>
    <row r="11" spans="1:6" ht="21.75" customHeight="1" x14ac:dyDescent="0.55000000000000004">
      <c r="A11" s="296" t="s">
        <v>125</v>
      </c>
      <c r="B11" s="296"/>
      <c r="C11" s="296"/>
      <c r="D11" s="296"/>
      <c r="E11" s="296"/>
      <c r="F11" s="296"/>
    </row>
    <row r="12" spans="1:6" ht="15" customHeight="1" x14ac:dyDescent="0.55000000000000004">
      <c r="A12" s="49" t="s">
        <v>126</v>
      </c>
      <c r="B12" s="50" t="s">
        <v>115</v>
      </c>
      <c r="C12" s="298">
        <v>2022</v>
      </c>
      <c r="D12" s="298"/>
      <c r="E12" s="298"/>
      <c r="F12" s="52" t="s">
        <v>127</v>
      </c>
    </row>
    <row r="13" spans="1:6" ht="15" customHeight="1" x14ac:dyDescent="0.55000000000000004">
      <c r="A13" s="49" t="s">
        <v>128</v>
      </c>
      <c r="B13" s="50" t="s">
        <v>115</v>
      </c>
      <c r="C13" s="298">
        <v>2029</v>
      </c>
      <c r="D13" s="298"/>
      <c r="E13" s="298"/>
      <c r="F13" s="52" t="s">
        <v>129</v>
      </c>
    </row>
    <row r="14" spans="1:6" ht="15" customHeight="1" x14ac:dyDescent="0.55000000000000004">
      <c r="A14" s="49" t="s">
        <v>130</v>
      </c>
      <c r="B14" s="50" t="s">
        <v>115</v>
      </c>
      <c r="C14" s="298">
        <v>2025</v>
      </c>
      <c r="D14" s="298"/>
      <c r="E14" s="298"/>
      <c r="F14" s="52" t="s">
        <v>131</v>
      </c>
    </row>
    <row r="16" spans="1:6" ht="21.75" customHeight="1" x14ac:dyDescent="0.55000000000000004">
      <c r="A16" s="296" t="s">
        <v>132</v>
      </c>
      <c r="B16" s="296"/>
      <c r="C16" s="296"/>
      <c r="D16" s="296"/>
      <c r="E16" s="296"/>
      <c r="F16" s="296"/>
    </row>
    <row r="17" spans="1:6" ht="15" customHeight="1" x14ac:dyDescent="0.55000000000000004">
      <c r="A17" s="49" t="s">
        <v>133</v>
      </c>
      <c r="B17" s="50" t="s">
        <v>115</v>
      </c>
      <c r="C17" s="297"/>
      <c r="D17" s="297"/>
      <c r="E17" s="297"/>
      <c r="F17" s="52" t="s">
        <v>120</v>
      </c>
    </row>
    <row r="19" spans="1:6" ht="15" customHeight="1" x14ac:dyDescent="0.55000000000000004">
      <c r="A19" s="53" t="s">
        <v>134</v>
      </c>
      <c r="B19" s="299" t="s">
        <v>135</v>
      </c>
      <c r="C19" s="299"/>
      <c r="D19" s="299" t="s">
        <v>136</v>
      </c>
      <c r="E19" s="299"/>
      <c r="F19" s="53" t="s">
        <v>137</v>
      </c>
    </row>
    <row r="20" spans="1:6" ht="15" customHeight="1" x14ac:dyDescent="0.55000000000000004">
      <c r="A20" s="54" t="s">
        <v>138</v>
      </c>
      <c r="B20" s="300"/>
      <c r="C20" s="300"/>
      <c r="D20" s="300"/>
      <c r="E20" s="300"/>
    </row>
    <row r="21" spans="1:6" ht="15" customHeight="1" x14ac:dyDescent="0.55000000000000004">
      <c r="A21" s="54" t="s">
        <v>139</v>
      </c>
      <c r="B21" s="300"/>
      <c r="C21" s="300"/>
      <c r="D21" s="300"/>
      <c r="E21" s="300"/>
    </row>
    <row r="22" spans="1:6" ht="15" customHeight="1" x14ac:dyDescent="0.55000000000000004">
      <c r="A22" s="54" t="s">
        <v>140</v>
      </c>
      <c r="B22" s="300"/>
      <c r="C22" s="300"/>
      <c r="D22" s="300"/>
      <c r="E22" s="300"/>
    </row>
    <row r="23" spans="1:6" ht="27.75" customHeight="1" x14ac:dyDescent="0.55000000000000004">
      <c r="A23" s="56" t="s">
        <v>141</v>
      </c>
      <c r="B23" s="301" t="str">
        <f>IF(C17="Renewal at Existing Level","Renewal: only Existing limits used.",IF(C17="Renewal with Reduction","Renewal w/ Reduction: BOTH existing and proposed (lower) limits considered.",IF(OR(C17="Enhancement",C17="Greenfield Unit",C17="Fresh Sanction"),"Enhancement / Greenfield / Fresh: BOTH existing and proposed limits used.","Select proposal type above.")))</f>
        <v>Select proposal type above.</v>
      </c>
      <c r="C23" s="301"/>
      <c r="D23" s="301"/>
      <c r="E23" s="301"/>
      <c r="F23" s="301"/>
    </row>
    <row r="25" spans="1:6" ht="21.75" customHeight="1" x14ac:dyDescent="0.55000000000000004">
      <c r="A25" s="296" t="s">
        <v>142</v>
      </c>
      <c r="B25" s="296"/>
      <c r="C25" s="296"/>
      <c r="D25" s="296"/>
      <c r="E25" s="296"/>
      <c r="F25" s="296"/>
    </row>
    <row r="26" spans="1:6" ht="15" customHeight="1" x14ac:dyDescent="0.55000000000000004">
      <c r="A26" s="57" t="s">
        <v>143</v>
      </c>
      <c r="B26" s="50" t="s">
        <v>115</v>
      </c>
      <c r="C26" s="58">
        <v>1.17</v>
      </c>
      <c r="D26" s="57" t="s">
        <v>144</v>
      </c>
      <c r="E26" s="50" t="s">
        <v>115</v>
      </c>
      <c r="F26" s="59">
        <v>-0.05</v>
      </c>
    </row>
    <row r="27" spans="1:6" ht="15" customHeight="1" x14ac:dyDescent="0.55000000000000004">
      <c r="A27" s="57" t="s">
        <v>145</v>
      </c>
      <c r="B27" s="50" t="s">
        <v>115</v>
      </c>
      <c r="C27" s="60">
        <v>1.25</v>
      </c>
      <c r="D27" s="57" t="s">
        <v>146</v>
      </c>
      <c r="E27" s="50" t="s">
        <v>115</v>
      </c>
      <c r="F27" s="60">
        <v>1.1000000000000001</v>
      </c>
    </row>
    <row r="28" spans="1:6" ht="15" customHeight="1" x14ac:dyDescent="0.55000000000000004">
      <c r="A28" s="57" t="s">
        <v>147</v>
      </c>
      <c r="B28" s="50" t="s">
        <v>115</v>
      </c>
      <c r="C28" s="60">
        <v>1.5</v>
      </c>
      <c r="D28" s="57" t="s">
        <v>148</v>
      </c>
      <c r="E28" s="50" t="s">
        <v>115</v>
      </c>
      <c r="F28" s="59">
        <v>-0.3</v>
      </c>
    </row>
    <row r="29" spans="1:6" ht="15" customHeight="1" x14ac:dyDescent="0.55000000000000004">
      <c r="A29" s="57" t="s">
        <v>149</v>
      </c>
      <c r="B29" s="50" t="s">
        <v>115</v>
      </c>
      <c r="C29" s="60">
        <v>4</v>
      </c>
      <c r="D29" s="57" t="s">
        <v>150</v>
      </c>
      <c r="E29" s="50" t="s">
        <v>115</v>
      </c>
      <c r="F29" s="59">
        <v>0.4</v>
      </c>
    </row>
    <row r="30" spans="1:6" ht="15" customHeight="1" x14ac:dyDescent="0.55000000000000004">
      <c r="A30" s="57" t="s">
        <v>151</v>
      </c>
      <c r="B30" s="50" t="s">
        <v>115</v>
      </c>
      <c r="C30" s="60">
        <v>4.5</v>
      </c>
      <c r="D30" s="57" t="s">
        <v>152</v>
      </c>
      <c r="E30" s="50" t="s">
        <v>115</v>
      </c>
      <c r="F30" s="59">
        <v>0.3</v>
      </c>
    </row>
    <row r="31" spans="1:6" ht="15" customHeight="1" x14ac:dyDescent="0.55000000000000004">
      <c r="A31" s="57" t="s">
        <v>153</v>
      </c>
      <c r="B31" s="50" t="s">
        <v>115</v>
      </c>
      <c r="C31" s="60">
        <v>1.5</v>
      </c>
      <c r="D31" s="57" t="s">
        <v>154</v>
      </c>
      <c r="E31" s="50" t="s">
        <v>115</v>
      </c>
      <c r="F31" s="59">
        <v>0.5</v>
      </c>
    </row>
    <row r="33" spans="1:6" ht="21.75" customHeight="1" x14ac:dyDescent="0.55000000000000004">
      <c r="A33" s="302" t="s">
        <v>155</v>
      </c>
      <c r="B33" s="302"/>
      <c r="C33" s="302"/>
      <c r="D33" s="302"/>
      <c r="E33" s="302"/>
      <c r="F33" s="302"/>
    </row>
    <row r="34" spans="1:6" ht="15" customHeight="1" x14ac:dyDescent="0.55000000000000004">
      <c r="A34" s="57" t="s">
        <v>156</v>
      </c>
      <c r="B34" s="50" t="s">
        <v>115</v>
      </c>
      <c r="C34" s="61">
        <f>$C$13-$C$12+1</f>
        <v>8</v>
      </c>
      <c r="F34" s="52" t="s">
        <v>157</v>
      </c>
    </row>
    <row r="35" spans="1:6" ht="15" customHeight="1" x14ac:dyDescent="0.55000000000000004">
      <c r="A35" s="57" t="s">
        <v>158</v>
      </c>
      <c r="B35" s="50" t="s">
        <v>115</v>
      </c>
      <c r="C35" s="61">
        <f>$C$14-1</f>
        <v>2024</v>
      </c>
      <c r="F35" s="52" t="s">
        <v>159</v>
      </c>
    </row>
    <row r="36" spans="1:6" ht="15" customHeight="1" x14ac:dyDescent="0.55000000000000004">
      <c r="A36" s="57" t="s">
        <v>160</v>
      </c>
      <c r="B36" s="50" t="s">
        <v>115</v>
      </c>
      <c r="C36" s="61">
        <f>$C$35-$C$12+1</f>
        <v>3</v>
      </c>
      <c r="F36" s="52" t="s">
        <v>161</v>
      </c>
    </row>
    <row r="37" spans="1:6" ht="15" customHeight="1" x14ac:dyDescent="0.55000000000000004">
      <c r="A37" s="57" t="s">
        <v>162</v>
      </c>
      <c r="B37" s="50" t="s">
        <v>115</v>
      </c>
      <c r="C37" s="61">
        <f>$C$34+1</f>
        <v>9</v>
      </c>
      <c r="F37" s="52" t="s">
        <v>163</v>
      </c>
    </row>
    <row r="39" spans="1:6" ht="15" customHeight="1" x14ac:dyDescent="0.55000000000000004">
      <c r="A39" s="303" t="s">
        <v>164</v>
      </c>
      <c r="B39" s="303"/>
      <c r="C39" s="303"/>
      <c r="D39" s="303"/>
      <c r="E39" s="303"/>
      <c r="F39" s="303"/>
    </row>
    <row r="40" spans="1:6" ht="15" customHeight="1" x14ac:dyDescent="0.55000000000000004">
      <c r="A40" s="57" t="s">
        <v>165</v>
      </c>
      <c r="B40" s="50" t="s">
        <v>115</v>
      </c>
      <c r="C40" s="61">
        <f>$C$36+1</f>
        <v>4</v>
      </c>
    </row>
    <row r="41" spans="1:6" ht="15" customHeight="1" x14ac:dyDescent="0.55000000000000004">
      <c r="A41" s="57" t="s">
        <v>166</v>
      </c>
      <c r="B41" s="50" t="s">
        <v>115</v>
      </c>
      <c r="C41" s="61">
        <f>$C$36</f>
        <v>3</v>
      </c>
    </row>
    <row r="42" spans="1:6" ht="15" customHeight="1" x14ac:dyDescent="0.55000000000000004">
      <c r="A42" s="57" t="s">
        <v>167</v>
      </c>
      <c r="B42" s="50" t="s">
        <v>115</v>
      </c>
      <c r="C42" s="61">
        <f>MAX($C$36-1,1)</f>
        <v>2</v>
      </c>
    </row>
    <row r="43" spans="1:6" ht="15" customHeight="1" x14ac:dyDescent="0.55000000000000004">
      <c r="A43" s="57" t="s">
        <v>168</v>
      </c>
      <c r="B43" s="50" t="s">
        <v>115</v>
      </c>
      <c r="C43" s="61">
        <f>$C$36+2</f>
        <v>5</v>
      </c>
    </row>
    <row r="44" spans="1:6" ht="15" customHeight="1" x14ac:dyDescent="0.55000000000000004">
      <c r="A44" s="57" t="s">
        <v>169</v>
      </c>
      <c r="B44" s="50" t="s">
        <v>115</v>
      </c>
      <c r="C44" s="61">
        <f>$C$37</f>
        <v>9</v>
      </c>
    </row>
    <row r="46" spans="1:6" ht="15" customHeight="1" x14ac:dyDescent="0.55000000000000004">
      <c r="A46" s="303" t="s">
        <v>170</v>
      </c>
      <c r="B46" s="303"/>
      <c r="C46" s="303"/>
      <c r="D46" s="303"/>
      <c r="E46" s="303"/>
      <c r="F46" s="303"/>
    </row>
    <row r="47" spans="1:6" ht="15" customHeight="1" x14ac:dyDescent="0.55000000000000004">
      <c r="A47" s="62" t="s">
        <v>171</v>
      </c>
      <c r="B47" s="62" t="s">
        <v>172</v>
      </c>
      <c r="C47" s="304" t="s">
        <v>173</v>
      </c>
      <c r="D47" s="304"/>
    </row>
    <row r="48" spans="1:6" ht="15" customHeight="1" x14ac:dyDescent="0.55000000000000004">
      <c r="A48" s="63">
        <v>1</v>
      </c>
      <c r="B48" s="64" t="str">
        <f>IF(1&gt;$C$37,"",IF(1&lt;$C$36,$C$12+1-1&amp;"-"&amp;RIGHT($C$12+1,2),IF(1=$C$36,$C$35&amp;"-"&amp;RIGHT($C$35+1,2),IF(1=$C$36+1,$C$35&amp;"-"&amp;RIGHT($C$35+1,2),IF(1=$C$36+2,$C$14&amp;"-"&amp;RIGHT($C$14+1,2),$C$14+(1-$C$36-2)&amp;"-"&amp;RIGHT($C$14+(1-$C$36-2)+1,2))))))</f>
        <v>2022-23</v>
      </c>
      <c r="C48" s="305" t="str">
        <f>IF(1&gt;$C$37,"",IF(1&lt;$C$36,"Audited",IF(1=$C$36,"Estimated",IF(1=$C$36+1,"Audited/Provisional",IF(1=$C$36+2,"Estimated","Projected")))))</f>
        <v>Audited</v>
      </c>
      <c r="D48" s="305"/>
    </row>
    <row r="49" spans="1:6" ht="15" customHeight="1" x14ac:dyDescent="0.55000000000000004">
      <c r="A49" s="63">
        <v>2</v>
      </c>
      <c r="B49" s="64" t="str">
        <f>IF(2&gt;$C$37,"",IF(2&lt;$C$36,$C$12+2-1&amp;"-"&amp;RIGHT($C$12+2,2),IF(2=$C$36,$C$35&amp;"-"&amp;RIGHT($C$35+1,2),IF(2=$C$36+1,$C$35&amp;"-"&amp;RIGHT($C$35+1,2),IF(2=$C$36+2,$C$14&amp;"-"&amp;RIGHT($C$14+1,2),$C$14+(2-$C$36-2)&amp;"-"&amp;RIGHT($C$14+(2-$C$36-2)+1,2))))))</f>
        <v>2023-24</v>
      </c>
      <c r="C49" s="305" t="str">
        <f>IF(2&gt;$C$37,"",IF(2&lt;$C$36,"Audited",IF(2=$C$36,"Estimated",IF(2=$C$36+1,"Audited/Provisional",IF(2=$C$36+2,"Estimated","Projected")))))</f>
        <v>Audited</v>
      </c>
      <c r="D49" s="305"/>
    </row>
    <row r="50" spans="1:6" ht="15" customHeight="1" x14ac:dyDescent="0.55000000000000004">
      <c r="A50" s="63">
        <v>3</v>
      </c>
      <c r="B50" s="64" t="str">
        <f>IF(3&gt;$C$37,"",IF(3&lt;$C$36,$C$12+3-1&amp;"-"&amp;RIGHT($C$12+3,2),IF(3=$C$36,$C$35&amp;"-"&amp;RIGHT($C$35+1,2),IF(3=$C$36+1,$C$35&amp;"-"&amp;RIGHT($C$35+1,2),IF(3=$C$36+2,$C$14&amp;"-"&amp;RIGHT($C$14+1,2),$C$14+(3-$C$36-2)&amp;"-"&amp;RIGHT($C$14+(3-$C$36-2)+1,2))))))</f>
        <v>2024-25</v>
      </c>
      <c r="C50" s="305" t="str">
        <f>IF(3&gt;$C$37,"",IF(3&lt;$C$36,"Audited",IF(3=$C$36,"Estimated",IF(3=$C$36+1,"Audited/Provisional",IF(3=$C$36+2,"Estimated","Projected")))))</f>
        <v>Estimated</v>
      </c>
      <c r="D50" s="305"/>
    </row>
    <row r="51" spans="1:6" ht="15" customHeight="1" x14ac:dyDescent="0.55000000000000004">
      <c r="A51" s="63">
        <v>4</v>
      </c>
      <c r="B51" s="64" t="str">
        <f>IF(4&gt;$C$37,"",IF(4&lt;$C$36,$C$12+4-1&amp;"-"&amp;RIGHT($C$12+4,2),IF(4=$C$36,$C$35&amp;"-"&amp;RIGHT($C$35+1,2),IF(4=$C$36+1,$C$35&amp;"-"&amp;RIGHT($C$35+1,2),IF(4=$C$36+2,$C$14&amp;"-"&amp;RIGHT($C$14+1,2),$C$14+(4-$C$36-2)&amp;"-"&amp;RIGHT($C$14+(4-$C$36-2)+1,2))))))</f>
        <v>2024-25</v>
      </c>
      <c r="C51" s="305" t="str">
        <f>IF(4&gt;$C$37,"",IF(4&lt;$C$36,"Audited",IF(4=$C$36,"Estimated",IF(4=$C$36+1,"Audited/Provisional",IF(4=$C$36+2,"Estimated","Projected")))))</f>
        <v>Audited/Provisional</v>
      </c>
      <c r="D51" s="305"/>
    </row>
    <row r="52" spans="1:6" ht="15" customHeight="1" x14ac:dyDescent="0.55000000000000004">
      <c r="A52" s="63">
        <v>5</v>
      </c>
      <c r="B52" s="64" t="str">
        <f>IF(5&gt;$C$37,"",IF(5&lt;$C$36,$C$12+5-1&amp;"-"&amp;RIGHT($C$12+5,2),IF(5=$C$36,$C$35&amp;"-"&amp;RIGHT($C$35+1,2),IF(5=$C$36+1,$C$35&amp;"-"&amp;RIGHT($C$35+1,2),IF(5=$C$36+2,$C$14&amp;"-"&amp;RIGHT($C$14+1,2),$C$14+(5-$C$36-2)&amp;"-"&amp;RIGHT($C$14+(5-$C$36-2)+1,2))))))</f>
        <v>2025-26</v>
      </c>
      <c r="C52" s="305" t="str">
        <f>IF(5&gt;$C$37,"",IF(5&lt;$C$36,"Audited",IF(5=$C$36,"Estimated",IF(5=$C$36+1,"Audited/Provisional",IF(5=$C$36+2,"Estimated","Projected")))))</f>
        <v>Estimated</v>
      </c>
      <c r="D52" s="305"/>
    </row>
    <row r="53" spans="1:6" ht="15" customHeight="1" x14ac:dyDescent="0.55000000000000004">
      <c r="A53" s="63">
        <v>6</v>
      </c>
      <c r="B53" s="64" t="str">
        <f>IF(6&gt;$C$37,"",IF(6&lt;$C$36,$C$12+6-1&amp;"-"&amp;RIGHT($C$12+6,2),IF(6=$C$36,$C$35&amp;"-"&amp;RIGHT($C$35+1,2),IF(6=$C$36+1,$C$35&amp;"-"&amp;RIGHT($C$35+1,2),IF(6=$C$36+2,$C$14&amp;"-"&amp;RIGHT($C$14+1,2),$C$14+(6-$C$36-2)&amp;"-"&amp;RIGHT($C$14+(6-$C$36-2)+1,2))))))</f>
        <v>2026-27</v>
      </c>
      <c r="C53" s="305" t="str">
        <f>IF(6&gt;$C$37,"",IF(6&lt;$C$36,"Audited",IF(6=$C$36,"Estimated",IF(6=$C$36+1,"Audited/Provisional",IF(6=$C$36+2,"Estimated","Projected")))))</f>
        <v>Projected</v>
      </c>
      <c r="D53" s="305"/>
    </row>
    <row r="54" spans="1:6" ht="15" customHeight="1" x14ac:dyDescent="0.55000000000000004">
      <c r="A54" s="63">
        <v>7</v>
      </c>
      <c r="B54" s="64" t="str">
        <f>IF(7&gt;$C$37,"",IF(7&lt;$C$36,$C$12+7-1&amp;"-"&amp;RIGHT($C$12+7,2),IF(7=$C$36,$C$35&amp;"-"&amp;RIGHT($C$35+1,2),IF(7=$C$36+1,$C$35&amp;"-"&amp;RIGHT($C$35+1,2),IF(7=$C$36+2,$C$14&amp;"-"&amp;RIGHT($C$14+1,2),$C$14+(7-$C$36-2)&amp;"-"&amp;RIGHT($C$14+(7-$C$36-2)+1,2))))))</f>
        <v>2027-28</v>
      </c>
      <c r="C54" s="305" t="str">
        <f>IF(7&gt;$C$37,"",IF(7&lt;$C$36,"Audited",IF(7=$C$36,"Estimated",IF(7=$C$36+1,"Audited/Provisional",IF(7=$C$36+2,"Estimated","Projected")))))</f>
        <v>Projected</v>
      </c>
      <c r="D54" s="305"/>
    </row>
    <row r="55" spans="1:6" ht="15" customHeight="1" x14ac:dyDescent="0.55000000000000004">
      <c r="A55" s="63">
        <v>8</v>
      </c>
      <c r="B55" s="64" t="str">
        <f>IF(8&gt;$C$37,"",IF(8&lt;$C$36,$C$12+8-1&amp;"-"&amp;RIGHT($C$12+8,2),IF(8=$C$36,$C$35&amp;"-"&amp;RIGHT($C$35+1,2),IF(8=$C$36+1,$C$35&amp;"-"&amp;RIGHT($C$35+1,2),IF(8=$C$36+2,$C$14&amp;"-"&amp;RIGHT($C$14+1,2),$C$14+(8-$C$36-2)&amp;"-"&amp;RIGHT($C$14+(8-$C$36-2)+1,2))))))</f>
        <v>2028-29</v>
      </c>
      <c r="C55" s="305" t="str">
        <f>IF(8&gt;$C$37,"",IF(8&lt;$C$36,"Audited",IF(8=$C$36,"Estimated",IF(8=$C$36+1,"Audited/Provisional",IF(8=$C$36+2,"Estimated","Projected")))))</f>
        <v>Projected</v>
      </c>
      <c r="D55" s="305"/>
    </row>
    <row r="56" spans="1:6" ht="15" customHeight="1" x14ac:dyDescent="0.55000000000000004">
      <c r="A56" s="63">
        <v>9</v>
      </c>
      <c r="B56" s="64" t="str">
        <f>IF(9&gt;$C$37,"",IF(9&lt;$C$36,$C$12+9-1&amp;"-"&amp;RIGHT($C$12+9,2),IF(9=$C$36,$C$35&amp;"-"&amp;RIGHT($C$35+1,2),IF(9=$C$36+1,$C$35&amp;"-"&amp;RIGHT($C$35+1,2),IF(9=$C$36+2,$C$14&amp;"-"&amp;RIGHT($C$14+1,2),$C$14+(9-$C$36-2)&amp;"-"&amp;RIGHT($C$14+(9-$C$36-2)+1,2))))))</f>
        <v>2029-30</v>
      </c>
      <c r="C56" s="305" t="str">
        <f>IF(9&gt;$C$37,"",IF(9&lt;$C$36,"Audited",IF(9=$C$36,"Estimated",IF(9=$C$36+1,"Audited/Provisional",IF(9=$C$36+2,"Estimated","Projected")))))</f>
        <v>Projected</v>
      </c>
      <c r="D56" s="305"/>
    </row>
    <row r="57" spans="1:6" ht="15" customHeight="1" x14ac:dyDescent="0.55000000000000004">
      <c r="A57" s="63">
        <v>10</v>
      </c>
      <c r="B57" s="64" t="str">
        <f>IF(10&gt;$C$37,"",IF(10&lt;$C$36,$C$12+10-1&amp;"-"&amp;RIGHT($C$12+10,2),IF(10=$C$36,$C$35&amp;"-"&amp;RIGHT($C$35+1,2),IF(10=$C$36+1,$C$35&amp;"-"&amp;RIGHT($C$35+1,2),IF(10=$C$36+2,$C$14&amp;"-"&amp;RIGHT($C$14+1,2),$C$14+(10-$C$36-2)&amp;"-"&amp;RIGHT($C$14+(10-$C$36-2)+1,2))))))</f>
        <v/>
      </c>
      <c r="C57" s="305" t="str">
        <f>IF(10&gt;$C$37,"",IF(10&lt;$C$36,"Audited",IF(10=$C$36,"Estimated",IF(10=$C$36+1,"Audited/Provisional",IF(10=$C$36+2,"Estimated","Projected")))))</f>
        <v/>
      </c>
      <c r="D57" s="305"/>
    </row>
    <row r="58" spans="1:6" ht="15" customHeight="1" x14ac:dyDescent="0.55000000000000004">
      <c r="A58" s="63">
        <v>11</v>
      </c>
      <c r="B58" s="64" t="str">
        <f>IF(11&gt;$C$37,"",IF(11&lt;$C$36,$C$12+11-1&amp;"-"&amp;RIGHT($C$12+11,2),IF(11=$C$36,$C$35&amp;"-"&amp;RIGHT($C$35+1,2),IF(11=$C$36+1,$C$35&amp;"-"&amp;RIGHT($C$35+1,2),IF(11=$C$36+2,$C$14&amp;"-"&amp;RIGHT($C$14+1,2),$C$14+(11-$C$36-2)&amp;"-"&amp;RIGHT($C$14+(11-$C$36-2)+1,2))))))</f>
        <v/>
      </c>
      <c r="C58" s="305" t="str">
        <f>IF(11&gt;$C$37,"",IF(11&lt;$C$36,"Audited",IF(11=$C$36,"Estimated",IF(11=$C$36+1,"Audited/Provisional",IF(11=$C$36+2,"Estimated","Projected")))))</f>
        <v/>
      </c>
      <c r="D58" s="305"/>
    </row>
    <row r="59" spans="1:6" ht="15" customHeight="1" x14ac:dyDescent="0.55000000000000004">
      <c r="A59" s="63">
        <v>12</v>
      </c>
      <c r="B59" s="64" t="str">
        <f>IF(12&gt;$C$37,"",IF(12&lt;$C$36,$C$12+12-1&amp;"-"&amp;RIGHT($C$12+12,2),IF(12=$C$36,$C$35&amp;"-"&amp;RIGHT($C$35+1,2),IF(12=$C$36+1,$C$35&amp;"-"&amp;RIGHT($C$35+1,2),IF(12=$C$36+2,$C$14&amp;"-"&amp;RIGHT($C$14+1,2),$C$14+(12-$C$36-2)&amp;"-"&amp;RIGHT($C$14+(12-$C$36-2)+1,2))))))</f>
        <v/>
      </c>
      <c r="C59" s="305" t="str">
        <f>IF(12&gt;$C$37,"",IF(12&lt;$C$36,"Audited",IF(12=$C$36,"Estimated",IF(12=$C$36+1,"Audited/Provisional",IF(12=$C$36+2,"Estimated","Projected")))))</f>
        <v/>
      </c>
      <c r="D59" s="305"/>
    </row>
    <row r="61" spans="1:6" ht="21.75" customHeight="1" x14ac:dyDescent="0.55000000000000004">
      <c r="A61" s="296" t="s">
        <v>174</v>
      </c>
      <c r="B61" s="296"/>
      <c r="C61" s="296"/>
      <c r="D61" s="296"/>
      <c r="E61" s="296"/>
      <c r="F61" s="296"/>
    </row>
    <row r="62" spans="1:6" ht="30" customHeight="1" x14ac:dyDescent="0.55000000000000004">
      <c r="A62" s="49" t="s">
        <v>175</v>
      </c>
      <c r="B62" s="50" t="s">
        <v>115</v>
      </c>
      <c r="C62" s="306" t="str">
        <f>IFERROR(VLOOKUP($C$7,Industry_Outlook!$A:$H,2,FALSE()),"Select Industry above")</f>
        <v>Select Industry above</v>
      </c>
      <c r="D62" s="306"/>
      <c r="E62" s="306"/>
      <c r="F62" s="306"/>
    </row>
    <row r="63" spans="1:6" ht="30" customHeight="1" x14ac:dyDescent="0.55000000000000004">
      <c r="A63" s="49" t="s">
        <v>176</v>
      </c>
      <c r="B63" s="50" t="s">
        <v>115</v>
      </c>
      <c r="C63" s="306" t="str">
        <f>IFERROR(VLOOKUP($C$7,Industry_Outlook!$A:$H,3,FALSE()),"Select Industry above")</f>
        <v>Select Industry above</v>
      </c>
      <c r="D63" s="306"/>
      <c r="E63" s="306"/>
      <c r="F63" s="306"/>
    </row>
    <row r="64" spans="1:6" ht="30" customHeight="1" x14ac:dyDescent="0.55000000000000004">
      <c r="A64" s="49" t="s">
        <v>177</v>
      </c>
      <c r="B64" s="50" t="s">
        <v>115</v>
      </c>
      <c r="C64" s="306" t="str">
        <f>IFERROR(VLOOKUP($C$7,Industry_Outlook!$A:$H,4,FALSE()),"Select Industry above")</f>
        <v>Select Industry above</v>
      </c>
      <c r="D64" s="306"/>
      <c r="E64" s="306"/>
      <c r="F64" s="306"/>
    </row>
    <row r="65" spans="1:6" ht="30" customHeight="1" x14ac:dyDescent="0.55000000000000004">
      <c r="A65" s="49" t="s">
        <v>178</v>
      </c>
      <c r="B65" s="50" t="s">
        <v>115</v>
      </c>
      <c r="C65" s="306" t="str">
        <f>IFERROR(VLOOKUP($C$7,Industry_Outlook!$A:$H,5,FALSE()),"Select Industry above")</f>
        <v>Select Industry above</v>
      </c>
      <c r="D65" s="306"/>
      <c r="E65" s="306"/>
      <c r="F65" s="306"/>
    </row>
    <row r="66" spans="1:6" ht="30" customHeight="1" x14ac:dyDescent="0.55000000000000004">
      <c r="A66" s="49" t="s">
        <v>179</v>
      </c>
      <c r="B66" s="50" t="s">
        <v>115</v>
      </c>
      <c r="C66" s="306" t="str">
        <f>IFERROR(VLOOKUP($C$7,Industry_Outlook!$A:$H,6,FALSE()),"Select Industry above")</f>
        <v>Select Industry above</v>
      </c>
      <c r="D66" s="306"/>
      <c r="E66" s="306"/>
      <c r="F66" s="306"/>
    </row>
    <row r="67" spans="1:6" ht="30" customHeight="1" x14ac:dyDescent="0.55000000000000004">
      <c r="A67" s="49" t="s">
        <v>180</v>
      </c>
      <c r="B67" s="50" t="s">
        <v>115</v>
      </c>
      <c r="C67" s="306" t="str">
        <f>IFERROR(VLOOKUP($C$7,Industry_Outlook!$A:$H,7,FALSE()),"Select Industry above")</f>
        <v>Select Industry above</v>
      </c>
      <c r="D67" s="306"/>
      <c r="E67" s="306"/>
      <c r="F67" s="306"/>
    </row>
    <row r="68" spans="1:6" ht="30" customHeight="1" x14ac:dyDescent="0.55000000000000004">
      <c r="A68" s="49" t="s">
        <v>181</v>
      </c>
      <c r="B68" s="50" t="s">
        <v>115</v>
      </c>
      <c r="C68" s="306" t="str">
        <f>IFERROR(VLOOKUP($C$7,Industry_Outlook!$A:$H,8,FALSE()),"Select Industry above")</f>
        <v>Select Industry above</v>
      </c>
      <c r="D68" s="306"/>
      <c r="E68" s="306"/>
      <c r="F68" s="306"/>
    </row>
    <row r="70" spans="1:6" ht="15" customHeight="1" x14ac:dyDescent="0.55000000000000004">
      <c r="A70" s="52" t="s">
        <v>182</v>
      </c>
      <c r="B70" t="s">
        <v>115</v>
      </c>
      <c r="C70" s="307" t="s">
        <v>183</v>
      </c>
      <c r="D70" s="307"/>
      <c r="E70" s="307"/>
      <c r="F70" s="307"/>
    </row>
    <row r="72" spans="1:6" ht="15" customHeight="1" x14ac:dyDescent="0.55000000000000004">
      <c r="A72" s="303" t="s">
        <v>184</v>
      </c>
      <c r="B72" s="303"/>
      <c r="C72" s="303"/>
      <c r="D72" s="303"/>
      <c r="E72" s="303"/>
      <c r="F72" s="303"/>
    </row>
    <row r="73" spans="1:6" ht="15" customHeight="1" x14ac:dyDescent="0.55000000000000004">
      <c r="A73" s="65"/>
      <c r="B73" s="307" t="s">
        <v>185</v>
      </c>
      <c r="C73" s="307"/>
      <c r="D73" s="307"/>
      <c r="E73" s="307"/>
      <c r="F73" s="307"/>
    </row>
    <row r="74" spans="1:6" ht="15" customHeight="1" x14ac:dyDescent="0.55000000000000004">
      <c r="A74" s="66"/>
      <c r="B74" s="307" t="s">
        <v>186</v>
      </c>
      <c r="C74" s="307"/>
      <c r="D74" s="307"/>
      <c r="E74" s="307"/>
      <c r="F74" s="307"/>
    </row>
    <row r="75" spans="1:6" ht="15" customHeight="1" x14ac:dyDescent="0.55000000000000004">
      <c r="A75" s="67"/>
      <c r="B75" s="307" t="s">
        <v>187</v>
      </c>
      <c r="C75" s="307"/>
      <c r="D75" s="307"/>
      <c r="E75" s="307"/>
      <c r="F75" s="307"/>
    </row>
    <row r="76" spans="1:6" ht="15" customHeight="1" x14ac:dyDescent="0.55000000000000004">
      <c r="A76" s="68"/>
      <c r="B76" s="307" t="s">
        <v>188</v>
      </c>
      <c r="C76" s="307"/>
      <c r="D76" s="307"/>
      <c r="E76" s="307"/>
      <c r="F76" s="307"/>
    </row>
    <row r="77" spans="1:6" ht="15" customHeight="1" x14ac:dyDescent="0.55000000000000004">
      <c r="A77" s="69"/>
      <c r="B77" s="307" t="s">
        <v>189</v>
      </c>
      <c r="C77" s="307"/>
      <c r="D77" s="307"/>
      <c r="E77" s="307"/>
      <c r="F77" s="307"/>
    </row>
    <row r="78" spans="1:6" ht="6" customHeight="1" x14ac:dyDescent="0.55000000000000004"/>
    <row r="79" spans="1:6" ht="21.75" customHeight="1" x14ac:dyDescent="0.55000000000000004">
      <c r="A79" s="308" t="s">
        <v>190</v>
      </c>
      <c r="B79" s="308"/>
      <c r="C79" s="308"/>
      <c r="D79" s="308"/>
      <c r="E79" s="308"/>
      <c r="F79" s="308"/>
    </row>
    <row r="80" spans="1:6" ht="18" customHeight="1" x14ac:dyDescent="0.55000000000000004">
      <c r="A80" s="70" t="s">
        <v>191</v>
      </c>
      <c r="B80" s="71" t="s">
        <v>115</v>
      </c>
      <c r="C80" s="72" t="s">
        <v>192</v>
      </c>
      <c r="F80" s="73" t="s">
        <v>193</v>
      </c>
    </row>
    <row r="81" spans="1:6" ht="18" customHeight="1" x14ac:dyDescent="0.55000000000000004">
      <c r="A81" s="70" t="s">
        <v>194</v>
      </c>
      <c r="B81" s="71" t="s">
        <v>115</v>
      </c>
      <c r="C81" s="72" t="s">
        <v>195</v>
      </c>
      <c r="F81" s="73" t="s">
        <v>196</v>
      </c>
    </row>
    <row r="82" spans="1:6" ht="18" customHeight="1" x14ac:dyDescent="0.55000000000000004">
      <c r="A82" s="70" t="s">
        <v>197</v>
      </c>
      <c r="B82" s="71" t="s">
        <v>115</v>
      </c>
      <c r="C82" s="72" t="s">
        <v>198</v>
      </c>
      <c r="F82" s="73" t="s">
        <v>199</v>
      </c>
    </row>
    <row r="83" spans="1:6" ht="18" customHeight="1" x14ac:dyDescent="0.55000000000000004">
      <c r="A83" s="70" t="s">
        <v>200</v>
      </c>
      <c r="B83" s="71" t="s">
        <v>115</v>
      </c>
      <c r="C83" s="72"/>
      <c r="F83" s="73" t="s">
        <v>201</v>
      </c>
    </row>
    <row r="84" spans="1:6" ht="6" customHeight="1" x14ac:dyDescent="0.55000000000000004"/>
    <row r="85" spans="1:6" ht="21.75" customHeight="1" x14ac:dyDescent="0.55000000000000004">
      <c r="A85" s="308" t="s">
        <v>202</v>
      </c>
      <c r="B85" s="308"/>
      <c r="C85" s="308"/>
      <c r="D85" s="308"/>
      <c r="E85" s="308"/>
      <c r="F85" s="308"/>
    </row>
    <row r="86" spans="1:6" ht="18" customHeight="1" x14ac:dyDescent="0.55000000000000004">
      <c r="A86" s="70" t="s">
        <v>203</v>
      </c>
      <c r="B86" s="71" t="s">
        <v>115</v>
      </c>
      <c r="C86" s="72" t="s">
        <v>204</v>
      </c>
      <c r="F86" s="73" t="s">
        <v>205</v>
      </c>
    </row>
    <row r="87" spans="1:6" ht="18" customHeight="1" x14ac:dyDescent="0.55000000000000004">
      <c r="A87" s="70" t="s">
        <v>206</v>
      </c>
      <c r="B87" s="71" t="s">
        <v>115</v>
      </c>
      <c r="C87" s="74">
        <v>0</v>
      </c>
      <c r="F87" s="73" t="s">
        <v>207</v>
      </c>
    </row>
    <row r="88" spans="1:6" ht="18" customHeight="1" x14ac:dyDescent="0.55000000000000004">
      <c r="A88" s="70" t="s">
        <v>208</v>
      </c>
      <c r="B88" s="71" t="s">
        <v>115</v>
      </c>
      <c r="C88" s="75" t="str">
        <f>IF(C87&lt;=0,"— No API data —","Variance: "&amp;TEXT((INDEX('2_Operating_Statement'!C13:N13,1,LatestAudCol)-C87)/C87,"0.0%"))</f>
        <v>— No API data —</v>
      </c>
      <c r="F88" s="73" t="s">
        <v>209</v>
      </c>
    </row>
  </sheetData>
  <mergeCells count="57">
    <mergeCell ref="B75:F75"/>
    <mergeCell ref="B76:F76"/>
    <mergeCell ref="B77:F77"/>
    <mergeCell ref="A79:F79"/>
    <mergeCell ref="A85:F85"/>
    <mergeCell ref="C68:F68"/>
    <mergeCell ref="C70:F70"/>
    <mergeCell ref="A72:F72"/>
    <mergeCell ref="B73:F73"/>
    <mergeCell ref="B74:F74"/>
    <mergeCell ref="C63:F63"/>
    <mergeCell ref="C64:F64"/>
    <mergeCell ref="C65:F65"/>
    <mergeCell ref="C66:F66"/>
    <mergeCell ref="C67:F67"/>
    <mergeCell ref="C57:D57"/>
    <mergeCell ref="C58:D58"/>
    <mergeCell ref="C59:D59"/>
    <mergeCell ref="A61:F61"/>
    <mergeCell ref="C62:F62"/>
    <mergeCell ref="C52:D52"/>
    <mergeCell ref="C53:D53"/>
    <mergeCell ref="C54:D54"/>
    <mergeCell ref="C55:D55"/>
    <mergeCell ref="C56:D56"/>
    <mergeCell ref="C47:D47"/>
    <mergeCell ref="C48:D48"/>
    <mergeCell ref="C49:D49"/>
    <mergeCell ref="C50:D50"/>
    <mergeCell ref="C51:D51"/>
    <mergeCell ref="B23:F23"/>
    <mergeCell ref="A25:F25"/>
    <mergeCell ref="A33:F33"/>
    <mergeCell ref="A39:F39"/>
    <mergeCell ref="A46:F46"/>
    <mergeCell ref="B20:C20"/>
    <mergeCell ref="D20:E20"/>
    <mergeCell ref="B21:C21"/>
    <mergeCell ref="D21:E21"/>
    <mergeCell ref="B22:C22"/>
    <mergeCell ref="D22:E22"/>
    <mergeCell ref="C13:E13"/>
    <mergeCell ref="C14:E14"/>
    <mergeCell ref="A16:F16"/>
    <mergeCell ref="C17:E17"/>
    <mergeCell ref="B19:C19"/>
    <mergeCell ref="D19:E19"/>
    <mergeCell ref="C7:E7"/>
    <mergeCell ref="C8:E8"/>
    <mergeCell ref="C9:E9"/>
    <mergeCell ref="A11:F11"/>
    <mergeCell ref="C12:E12"/>
    <mergeCell ref="A1:F1"/>
    <mergeCell ref="A2:F2"/>
    <mergeCell ref="A4:F4"/>
    <mergeCell ref="C5:E5"/>
    <mergeCell ref="C6:E6"/>
  </mergeCells>
  <dataValidations count="1">
    <dataValidation type="list" allowBlank="1" error="Please select a valid proposal type." sqref="C17" xr:uid="{00000000-0002-0000-0200-000001000000}">
      <formula1>"Renewal at Existing Level,Renewal with Reduction,Enhancement,Greenfield Unit,Fresh Sanction"</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Invalid industry" error="Please select from the dropdown." xr:uid="{00000000-0002-0000-0200-000000000000}">
          <x14:formula1>
            <xm:f>Industry_Outlook!$A$2:$A$44</xm:f>
          </x14:formula1>
          <x14:formula2>
            <xm:f>0</xm:f>
          </x14:formula2>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E24"/>
  <sheetViews>
    <sheetView zoomScaleNormal="100" workbookViewId="0">
      <selection sqref="A1:E1"/>
    </sheetView>
  </sheetViews>
  <sheetFormatPr defaultColWidth="8.68359375" defaultRowHeight="14.4" x14ac:dyDescent="0.55000000000000004"/>
  <cols>
    <col min="1" max="1" width="28" customWidth="1"/>
    <col min="2" max="5" width="26" customWidth="1"/>
  </cols>
  <sheetData>
    <row r="1" spans="1:5" ht="24.75" customHeight="1" x14ac:dyDescent="0.55000000000000004">
      <c r="A1" s="294" t="s">
        <v>210</v>
      </c>
      <c r="B1" s="294"/>
      <c r="C1" s="294"/>
      <c r="D1" s="294"/>
      <c r="E1" s="294"/>
    </row>
    <row r="3" spans="1:5" ht="31.5" customHeight="1" x14ac:dyDescent="0.55000000000000004">
      <c r="A3" s="76" t="s">
        <v>211</v>
      </c>
      <c r="B3" s="309" t="s">
        <v>212</v>
      </c>
      <c r="C3" s="309"/>
      <c r="D3" s="309"/>
      <c r="E3" s="309"/>
    </row>
    <row r="4" spans="1:5" ht="31.5" customHeight="1" x14ac:dyDescent="0.55000000000000004">
      <c r="A4" s="76" t="s">
        <v>213</v>
      </c>
      <c r="B4" s="309" t="s">
        <v>214</v>
      </c>
      <c r="C4" s="309"/>
      <c r="D4" s="309"/>
      <c r="E4" s="309"/>
    </row>
    <row r="5" spans="1:5" ht="18" customHeight="1" x14ac:dyDescent="0.55000000000000004">
      <c r="A5" s="76" t="s">
        <v>215</v>
      </c>
      <c r="B5" s="309" t="s">
        <v>216</v>
      </c>
      <c r="C5" s="309"/>
      <c r="D5" s="309"/>
      <c r="E5" s="309"/>
    </row>
    <row r="6" spans="1:5" ht="18" customHeight="1" x14ac:dyDescent="0.55000000000000004">
      <c r="A6" s="77" t="s">
        <v>217</v>
      </c>
      <c r="B6" s="309" t="s">
        <v>218</v>
      </c>
      <c r="C6" s="309"/>
      <c r="D6" s="309"/>
      <c r="E6" s="309"/>
    </row>
    <row r="7" spans="1:5" ht="18" customHeight="1" x14ac:dyDescent="0.55000000000000004">
      <c r="A7" s="77" t="s">
        <v>219</v>
      </c>
      <c r="B7" s="309" t="s">
        <v>220</v>
      </c>
      <c r="C7" s="309"/>
      <c r="D7" s="309"/>
      <c r="E7" s="309"/>
    </row>
    <row r="8" spans="1:5" ht="18" customHeight="1" x14ac:dyDescent="0.55000000000000004">
      <c r="A8" s="77" t="s">
        <v>221</v>
      </c>
      <c r="B8" s="309" t="s">
        <v>222</v>
      </c>
      <c r="C8" s="309"/>
      <c r="D8" s="309"/>
      <c r="E8" s="309"/>
    </row>
    <row r="9" spans="1:5" ht="18" customHeight="1" x14ac:dyDescent="0.55000000000000004">
      <c r="A9" s="77" t="s">
        <v>223</v>
      </c>
      <c r="B9" s="309" t="s">
        <v>224</v>
      </c>
      <c r="C9" s="309"/>
      <c r="D9" s="309"/>
      <c r="E9" s="309"/>
    </row>
    <row r="10" spans="1:5" ht="18" customHeight="1" x14ac:dyDescent="0.55000000000000004">
      <c r="A10" s="77" t="s">
        <v>225</v>
      </c>
      <c r="B10" s="309" t="s">
        <v>226</v>
      </c>
      <c r="C10" s="309"/>
      <c r="D10" s="309"/>
      <c r="E10" s="309"/>
    </row>
    <row r="11" spans="1:5" ht="18" customHeight="1" x14ac:dyDescent="0.55000000000000004">
      <c r="A11" s="77" t="s">
        <v>227</v>
      </c>
      <c r="B11" s="309" t="s">
        <v>228</v>
      </c>
      <c r="C11" s="309"/>
      <c r="D11" s="309"/>
      <c r="E11" s="309"/>
    </row>
    <row r="12" spans="1:5" ht="31.5" customHeight="1" x14ac:dyDescent="0.55000000000000004">
      <c r="A12" s="76" t="s">
        <v>229</v>
      </c>
      <c r="B12" s="309" t="s">
        <v>230</v>
      </c>
      <c r="C12" s="309"/>
      <c r="D12" s="309"/>
      <c r="E12" s="309"/>
    </row>
    <row r="13" spans="1:5" ht="31.5" customHeight="1" x14ac:dyDescent="0.55000000000000004">
      <c r="A13" s="76" t="s">
        <v>231</v>
      </c>
      <c r="B13" s="309" t="s">
        <v>232</v>
      </c>
      <c r="C13" s="309"/>
      <c r="D13" s="309"/>
      <c r="E13" s="309"/>
    </row>
    <row r="14" spans="1:5" ht="31.5" customHeight="1" x14ac:dyDescent="0.55000000000000004">
      <c r="A14" s="76" t="s">
        <v>233</v>
      </c>
      <c r="B14" s="309" t="s">
        <v>234</v>
      </c>
      <c r="C14" s="309"/>
      <c r="D14" s="309"/>
      <c r="E14" s="309"/>
    </row>
    <row r="15" spans="1:5" ht="31.5" customHeight="1" x14ac:dyDescent="0.55000000000000004">
      <c r="A15" s="76" t="s">
        <v>235</v>
      </c>
      <c r="B15" s="309" t="s">
        <v>236</v>
      </c>
      <c r="C15" s="309"/>
      <c r="D15" s="309"/>
      <c r="E15" s="309"/>
    </row>
    <row r="16" spans="1:5" ht="31.5" customHeight="1" x14ac:dyDescent="0.55000000000000004">
      <c r="A16" s="76" t="s">
        <v>237</v>
      </c>
      <c r="B16" s="309" t="s">
        <v>238</v>
      </c>
      <c r="C16" s="309"/>
      <c r="D16" s="309"/>
      <c r="E16" s="309"/>
    </row>
    <row r="17" spans="1:5" ht="18" customHeight="1" x14ac:dyDescent="0.55000000000000004">
      <c r="B17" s="309"/>
      <c r="C17" s="309"/>
      <c r="D17" s="309"/>
      <c r="E17" s="309"/>
    </row>
    <row r="18" spans="1:5" ht="18" customHeight="1" x14ac:dyDescent="0.55000000000000004">
      <c r="A18" s="76" t="s">
        <v>239</v>
      </c>
      <c r="B18" s="309"/>
      <c r="C18" s="309"/>
      <c r="D18" s="309"/>
      <c r="E18" s="309"/>
    </row>
    <row r="19" spans="1:5" ht="31.5" customHeight="1" x14ac:dyDescent="0.55000000000000004">
      <c r="A19" s="78" t="s">
        <v>240</v>
      </c>
      <c r="B19" s="309" t="s">
        <v>241</v>
      </c>
      <c r="C19" s="309"/>
      <c r="D19" s="309"/>
      <c r="E19" s="309"/>
    </row>
    <row r="20" spans="1:5" ht="31.5" customHeight="1" x14ac:dyDescent="0.55000000000000004">
      <c r="A20" s="78" t="s">
        <v>242</v>
      </c>
      <c r="B20" s="309" t="s">
        <v>243</v>
      </c>
      <c r="C20" s="309"/>
      <c r="D20" s="309"/>
      <c r="E20" s="309"/>
    </row>
    <row r="21" spans="1:5" ht="31.5" customHeight="1" x14ac:dyDescent="0.55000000000000004">
      <c r="A21" s="78" t="s">
        <v>244</v>
      </c>
      <c r="B21" s="309" t="s">
        <v>245</v>
      </c>
      <c r="C21" s="309"/>
      <c r="D21" s="309"/>
      <c r="E21" s="309"/>
    </row>
    <row r="22" spans="1:5" ht="18" customHeight="1" x14ac:dyDescent="0.55000000000000004">
      <c r="A22" s="78" t="s">
        <v>246</v>
      </c>
      <c r="B22" s="309" t="s">
        <v>247</v>
      </c>
      <c r="C22" s="309"/>
      <c r="D22" s="309"/>
      <c r="E22" s="309"/>
    </row>
    <row r="23" spans="1:5" ht="18" customHeight="1" x14ac:dyDescent="0.55000000000000004">
      <c r="B23" s="309"/>
      <c r="C23" s="309"/>
      <c r="D23" s="309"/>
      <c r="E23" s="309"/>
    </row>
    <row r="24" spans="1:5" ht="31.5" customHeight="1" x14ac:dyDescent="0.55000000000000004">
      <c r="A24" s="78" t="s">
        <v>248</v>
      </c>
      <c r="B24" s="309" t="s">
        <v>249</v>
      </c>
      <c r="C24" s="309"/>
      <c r="D24" s="309"/>
      <c r="E24" s="309"/>
    </row>
  </sheetData>
  <mergeCells count="23">
    <mergeCell ref="B22:E22"/>
    <mergeCell ref="B23:E23"/>
    <mergeCell ref="B24:E24"/>
    <mergeCell ref="B17:E17"/>
    <mergeCell ref="B18:E18"/>
    <mergeCell ref="B19:E19"/>
    <mergeCell ref="B20:E20"/>
    <mergeCell ref="B21:E21"/>
    <mergeCell ref="B12:E12"/>
    <mergeCell ref="B13:E13"/>
    <mergeCell ref="B14:E14"/>
    <mergeCell ref="B15:E15"/>
    <mergeCell ref="B16:E16"/>
    <mergeCell ref="B7:E7"/>
    <mergeCell ref="B8:E8"/>
    <mergeCell ref="B9:E9"/>
    <mergeCell ref="B10:E10"/>
    <mergeCell ref="B11:E11"/>
    <mergeCell ref="A1:E1"/>
    <mergeCell ref="B3:E3"/>
    <mergeCell ref="B4:E4"/>
    <mergeCell ref="B5:E5"/>
    <mergeCell ref="B6:E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P60"/>
  <sheetViews>
    <sheetView zoomScaleNormal="100" workbookViewId="0">
      <selection sqref="A1:P1"/>
    </sheetView>
  </sheetViews>
  <sheetFormatPr defaultColWidth="8.68359375" defaultRowHeight="14.4" x14ac:dyDescent="0.55000000000000004"/>
  <cols>
    <col min="1" max="1" width="6" customWidth="1"/>
    <col min="2" max="2" width="50" customWidth="1"/>
    <col min="3" max="15" width="12" customWidth="1"/>
    <col min="16" max="16" width="35" customWidth="1"/>
  </cols>
  <sheetData>
    <row r="1" spans="1:16" ht="24" customHeight="1" x14ac:dyDescent="0.55000000000000004">
      <c r="A1" s="294" t="str">
        <f>CONCATENATE("OPERATING STATEMENT  |  ₹ Crores  |  ", BorrowerName)</f>
        <v xml:space="preserve">OPERATING STATEMENT  |  ₹ Crores  |  </v>
      </c>
      <c r="B1" s="294"/>
      <c r="C1" s="294"/>
      <c r="D1" s="294"/>
      <c r="E1" s="294"/>
      <c r="F1" s="294"/>
      <c r="G1" s="294"/>
      <c r="H1" s="294"/>
      <c r="I1" s="294"/>
      <c r="J1" s="294"/>
      <c r="K1" s="294"/>
      <c r="L1" s="294"/>
      <c r="M1" s="294"/>
      <c r="N1" s="294"/>
      <c r="O1" s="294"/>
      <c r="P1" s="294"/>
    </row>
    <row r="2" spans="1:16" ht="15" customHeight="1" x14ac:dyDescent="0.55000000000000004">
      <c r="A2" s="295" t="s">
        <v>250</v>
      </c>
      <c r="B2" s="295"/>
      <c r="C2" s="295"/>
      <c r="D2" s="295"/>
      <c r="E2" s="295"/>
      <c r="F2" s="295"/>
      <c r="G2" s="295"/>
      <c r="H2" s="295"/>
      <c r="I2" s="295"/>
      <c r="J2" s="295"/>
      <c r="K2" s="295"/>
      <c r="L2" s="295"/>
      <c r="M2" s="295"/>
      <c r="N2" s="295"/>
      <c r="O2" s="295"/>
      <c r="P2" s="295"/>
    </row>
    <row r="3" spans="1:16" ht="30" customHeight="1" x14ac:dyDescent="0.55000000000000004">
      <c r="A3" s="79" t="s">
        <v>251</v>
      </c>
      <c r="B3" s="79" t="s">
        <v>252</v>
      </c>
      <c r="C3" s="80" t="s">
        <v>253</v>
      </c>
      <c r="D3" s="80" t="s">
        <v>254</v>
      </c>
      <c r="E3" s="80" t="s">
        <v>255</v>
      </c>
      <c r="F3" s="80" t="s">
        <v>256</v>
      </c>
      <c r="G3" s="80" t="s">
        <v>257</v>
      </c>
      <c r="H3" s="80" t="s">
        <v>258</v>
      </c>
      <c r="I3" s="80" t="s">
        <v>259</v>
      </c>
      <c r="J3" s="80" t="s">
        <v>260</v>
      </c>
      <c r="K3" s="80" t="s">
        <v>261</v>
      </c>
      <c r="L3" s="80" t="s">
        <v>262</v>
      </c>
      <c r="M3" s="80" t="s">
        <v>263</v>
      </c>
      <c r="N3" s="80" t="s">
        <v>264</v>
      </c>
      <c r="O3" s="81" t="s">
        <v>265</v>
      </c>
      <c r="P3" s="81" t="s">
        <v>266</v>
      </c>
    </row>
    <row r="4" spans="1:16" ht="18"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5" spans="1:16" ht="15" customHeight="1" x14ac:dyDescent="0.55000000000000004">
      <c r="B5" s="84" t="s">
        <v>268</v>
      </c>
      <c r="C5" s="85" t="str">
        <f>INDEX('0_Setup'!$C$48:$C$59,1)</f>
        <v>Audited</v>
      </c>
      <c r="D5" s="85" t="str">
        <f>INDEX('0_Setup'!$C$48:$C$59,2)</f>
        <v>Audited</v>
      </c>
      <c r="E5" s="85" t="str">
        <f>INDEX('0_Setup'!$C$48:$C$59,3)</f>
        <v>Estimated</v>
      </c>
      <c r="F5" s="85" t="str">
        <f>INDEX('0_Setup'!$C$48:$C$59,4)</f>
        <v>Audited/Provisional</v>
      </c>
      <c r="G5" s="85" t="str">
        <f>INDEX('0_Setup'!$C$48:$C$59,5)</f>
        <v>Estimated</v>
      </c>
      <c r="H5" s="85" t="str">
        <f>INDEX('0_Setup'!$C$48:$C$59,6)</f>
        <v>Projected</v>
      </c>
      <c r="I5" s="85" t="str">
        <f>INDEX('0_Setup'!$C$48:$C$59,7)</f>
        <v>Projected</v>
      </c>
      <c r="J5" s="85" t="str">
        <f>INDEX('0_Setup'!$C$48:$C$59,8)</f>
        <v>Projected</v>
      </c>
      <c r="K5" s="85" t="str">
        <f>INDEX('0_Setup'!$C$48:$C$59,9)</f>
        <v>Projected</v>
      </c>
      <c r="L5" s="85" t="str">
        <f>INDEX('0_Setup'!$C$48:$C$59,10)</f>
        <v/>
      </c>
      <c r="M5" s="85" t="str">
        <f>INDEX('0_Setup'!$C$48:$C$59,11)</f>
        <v/>
      </c>
      <c r="N5" s="85" t="str">
        <f>INDEX('0_Setup'!$C$48:$C$59,12)</f>
        <v/>
      </c>
    </row>
    <row r="6" spans="1:16" ht="19.5" customHeight="1" x14ac:dyDescent="0.55000000000000004">
      <c r="A6" s="310" t="s">
        <v>269</v>
      </c>
      <c r="B6" s="310"/>
      <c r="C6" s="310"/>
      <c r="D6" s="310"/>
      <c r="E6" s="310"/>
      <c r="F6" s="310"/>
      <c r="G6" s="310"/>
      <c r="H6" s="310"/>
      <c r="I6" s="310"/>
      <c r="J6" s="310"/>
      <c r="K6" s="310"/>
      <c r="L6" s="310"/>
      <c r="M6" s="310"/>
      <c r="N6" s="310"/>
      <c r="O6" s="310"/>
      <c r="P6" s="310"/>
    </row>
    <row r="7" spans="1:16" ht="15" customHeight="1" x14ac:dyDescent="0.55000000000000004">
      <c r="A7" s="86">
        <v>1</v>
      </c>
      <c r="B7" s="87" t="s">
        <v>270</v>
      </c>
      <c r="C7" s="88"/>
      <c r="D7" s="88"/>
      <c r="E7" s="88"/>
      <c r="F7" s="88"/>
      <c r="G7" s="88"/>
      <c r="H7" s="88"/>
      <c r="I7" s="88"/>
      <c r="J7" s="88"/>
      <c r="K7" s="88"/>
      <c r="L7" s="88"/>
      <c r="M7" s="88"/>
      <c r="N7" s="88"/>
    </row>
    <row r="8" spans="1:16" ht="15" customHeight="1" x14ac:dyDescent="0.55000000000000004">
      <c r="A8" s="86">
        <v>2</v>
      </c>
      <c r="B8" s="87" t="s">
        <v>271</v>
      </c>
      <c r="C8" s="88"/>
      <c r="D8" s="88"/>
      <c r="E8" s="88"/>
      <c r="F8" s="88"/>
      <c r="G8" s="88"/>
      <c r="H8" s="88"/>
      <c r="I8" s="88"/>
      <c r="J8" s="88"/>
      <c r="K8" s="88"/>
      <c r="L8" s="88"/>
      <c r="M8" s="88"/>
      <c r="N8" s="88"/>
    </row>
    <row r="9" spans="1:16" ht="15" customHeight="1" x14ac:dyDescent="0.55000000000000004">
      <c r="A9" s="86">
        <v>3</v>
      </c>
      <c r="B9" s="87" t="s">
        <v>272</v>
      </c>
      <c r="C9" s="88"/>
      <c r="D9" s="88"/>
      <c r="E9" s="88"/>
      <c r="F9" s="88"/>
      <c r="G9" s="88"/>
      <c r="H9" s="88"/>
      <c r="I9" s="88"/>
      <c r="J9" s="88"/>
      <c r="K9" s="88"/>
      <c r="L9" s="88"/>
      <c r="M9" s="88"/>
      <c r="N9" s="88"/>
    </row>
    <row r="10" spans="1:16" ht="15" customHeight="1" x14ac:dyDescent="0.55000000000000004">
      <c r="A10" s="86">
        <v>4</v>
      </c>
      <c r="B10" s="89" t="s">
        <v>273</v>
      </c>
      <c r="C10" s="90">
        <f t="shared" ref="C10:N10" si="0">C7+C8+C9</f>
        <v>0</v>
      </c>
      <c r="D10" s="90">
        <f t="shared" si="0"/>
        <v>0</v>
      </c>
      <c r="E10" s="90">
        <f t="shared" si="0"/>
        <v>0</v>
      </c>
      <c r="F10" s="90">
        <f t="shared" si="0"/>
        <v>0</v>
      </c>
      <c r="G10" s="90">
        <f t="shared" si="0"/>
        <v>0</v>
      </c>
      <c r="H10" s="90">
        <f t="shared" si="0"/>
        <v>0</v>
      </c>
      <c r="I10" s="90">
        <f t="shared" si="0"/>
        <v>0</v>
      </c>
      <c r="J10" s="90">
        <f t="shared" si="0"/>
        <v>0</v>
      </c>
      <c r="K10" s="90">
        <f t="shared" si="0"/>
        <v>0</v>
      </c>
      <c r="L10" s="90">
        <f t="shared" si="0"/>
        <v>0</v>
      </c>
      <c r="M10" s="90">
        <f t="shared" si="0"/>
        <v>0</v>
      </c>
      <c r="N10" s="90">
        <f t="shared" si="0"/>
        <v>0</v>
      </c>
      <c r="O10" s="91" t="str">
        <f>IFERROR((INDEX(C10:N10,1,LatestAudCol)-INDEX(C10:N10,1,PriorAudCol))/ABS(INDEX(C10:N10,1,PriorAudCol)),"")</f>
        <v/>
      </c>
    </row>
    <row r="11" spans="1:16" ht="15" customHeight="1" x14ac:dyDescent="0.55000000000000004">
      <c r="A11" s="86">
        <v>5</v>
      </c>
      <c r="B11" s="92" t="s">
        <v>274</v>
      </c>
      <c r="C11" s="88"/>
      <c r="D11" s="88"/>
      <c r="E11" s="88"/>
      <c r="F11" s="88"/>
      <c r="G11" s="88"/>
      <c r="H11" s="88"/>
      <c r="I11" s="88"/>
      <c r="J11" s="88"/>
      <c r="K11" s="88"/>
      <c r="L11" s="88"/>
      <c r="M11" s="88"/>
      <c r="N11" s="88"/>
    </row>
    <row r="12" spans="1:16" ht="15" customHeight="1" x14ac:dyDescent="0.55000000000000004">
      <c r="A12" s="86">
        <v>6</v>
      </c>
      <c r="B12" s="92" t="s">
        <v>275</v>
      </c>
      <c r="C12" s="88"/>
      <c r="D12" s="88"/>
      <c r="E12" s="88"/>
      <c r="F12" s="88"/>
      <c r="G12" s="88"/>
      <c r="H12" s="88"/>
      <c r="I12" s="88"/>
      <c r="J12" s="88"/>
      <c r="K12" s="88"/>
      <c r="L12" s="88"/>
      <c r="M12" s="88"/>
      <c r="N12" s="88"/>
    </row>
    <row r="13" spans="1:16" ht="15" customHeight="1" x14ac:dyDescent="0.55000000000000004">
      <c r="A13" s="86">
        <v>7</v>
      </c>
      <c r="B13" s="89" t="s">
        <v>276</v>
      </c>
      <c r="C13" s="90">
        <f t="shared" ref="C13:N13" si="1">C10-C11-C12</f>
        <v>0</v>
      </c>
      <c r="D13" s="90">
        <f t="shared" si="1"/>
        <v>0</v>
      </c>
      <c r="E13" s="90">
        <f t="shared" si="1"/>
        <v>0</v>
      </c>
      <c r="F13" s="90">
        <f t="shared" si="1"/>
        <v>0</v>
      </c>
      <c r="G13" s="90">
        <f t="shared" si="1"/>
        <v>0</v>
      </c>
      <c r="H13" s="90">
        <f t="shared" si="1"/>
        <v>0</v>
      </c>
      <c r="I13" s="90">
        <f t="shared" si="1"/>
        <v>0</v>
      </c>
      <c r="J13" s="90">
        <f t="shared" si="1"/>
        <v>0</v>
      </c>
      <c r="K13" s="90">
        <f t="shared" si="1"/>
        <v>0</v>
      </c>
      <c r="L13" s="90">
        <f t="shared" si="1"/>
        <v>0</v>
      </c>
      <c r="M13" s="90">
        <f t="shared" si="1"/>
        <v>0</v>
      </c>
      <c r="N13" s="90">
        <f t="shared" si="1"/>
        <v>0</v>
      </c>
      <c r="O13" s="91" t="str">
        <f>IFERROR((INDEX(C13:N13,1,LatestAudCol)-INDEX(C13:N13,1,PriorAudCol))/ABS(INDEX(C13:N13,1,PriorAudCol)),"")</f>
        <v/>
      </c>
    </row>
    <row r="14" spans="1:16" ht="19.5" customHeight="1" x14ac:dyDescent="0.55000000000000004">
      <c r="A14" s="310" t="s">
        <v>277</v>
      </c>
      <c r="B14" s="310"/>
      <c r="C14" s="310"/>
      <c r="D14" s="310"/>
      <c r="E14" s="310"/>
      <c r="F14" s="310"/>
      <c r="G14" s="310"/>
      <c r="H14" s="310"/>
      <c r="I14" s="310"/>
      <c r="J14" s="310"/>
      <c r="K14" s="310"/>
      <c r="L14" s="310"/>
      <c r="M14" s="310"/>
      <c r="N14" s="310"/>
      <c r="O14" s="310"/>
      <c r="P14" s="310"/>
    </row>
    <row r="15" spans="1:16" ht="15" customHeight="1" x14ac:dyDescent="0.55000000000000004">
      <c r="A15" s="86">
        <v>8</v>
      </c>
      <c r="B15" s="87" t="s">
        <v>278</v>
      </c>
      <c r="C15" s="88"/>
      <c r="D15" s="88"/>
      <c r="E15" s="88"/>
      <c r="F15" s="88"/>
      <c r="G15" s="88"/>
      <c r="H15" s="88"/>
      <c r="I15" s="88"/>
      <c r="J15" s="88"/>
      <c r="K15" s="88"/>
      <c r="L15" s="88"/>
      <c r="M15" s="88"/>
      <c r="N15" s="88"/>
    </row>
    <row r="16" spans="1:16" ht="15" customHeight="1" x14ac:dyDescent="0.55000000000000004">
      <c r="A16" s="86">
        <v>9</v>
      </c>
      <c r="B16" s="87" t="s">
        <v>279</v>
      </c>
      <c r="C16" s="88"/>
      <c r="D16" s="88"/>
      <c r="E16" s="88"/>
      <c r="F16" s="88"/>
      <c r="G16" s="88"/>
      <c r="H16" s="88"/>
      <c r="I16" s="88"/>
      <c r="J16" s="88"/>
      <c r="K16" s="88"/>
      <c r="L16" s="88"/>
      <c r="M16" s="88"/>
      <c r="N16" s="88"/>
    </row>
    <row r="17" spans="1:16" ht="15" customHeight="1" x14ac:dyDescent="0.55000000000000004">
      <c r="A17" s="86">
        <v>10</v>
      </c>
      <c r="B17" s="89" t="s">
        <v>280</v>
      </c>
      <c r="C17" s="90">
        <f t="shared" ref="C17:N17" si="2">C15+C16</f>
        <v>0</v>
      </c>
      <c r="D17" s="90">
        <f t="shared" si="2"/>
        <v>0</v>
      </c>
      <c r="E17" s="90">
        <f t="shared" si="2"/>
        <v>0</v>
      </c>
      <c r="F17" s="90">
        <f t="shared" si="2"/>
        <v>0</v>
      </c>
      <c r="G17" s="90">
        <f t="shared" si="2"/>
        <v>0</v>
      </c>
      <c r="H17" s="90">
        <f t="shared" si="2"/>
        <v>0</v>
      </c>
      <c r="I17" s="90">
        <f t="shared" si="2"/>
        <v>0</v>
      </c>
      <c r="J17" s="90">
        <f t="shared" si="2"/>
        <v>0</v>
      </c>
      <c r="K17" s="90">
        <f t="shared" si="2"/>
        <v>0</v>
      </c>
      <c r="L17" s="90">
        <f t="shared" si="2"/>
        <v>0</v>
      </c>
      <c r="M17" s="90">
        <f t="shared" si="2"/>
        <v>0</v>
      </c>
      <c r="N17" s="90">
        <f t="shared" si="2"/>
        <v>0</v>
      </c>
    </row>
    <row r="18" spans="1:16" ht="15" customHeight="1" x14ac:dyDescent="0.55000000000000004">
      <c r="A18" s="86">
        <v>11</v>
      </c>
      <c r="B18" s="87" t="s">
        <v>281</v>
      </c>
      <c r="C18" s="88"/>
      <c r="D18" s="88"/>
      <c r="E18" s="88"/>
      <c r="F18" s="88"/>
      <c r="G18" s="88"/>
      <c r="H18" s="88"/>
      <c r="I18" s="88"/>
      <c r="J18" s="88"/>
      <c r="K18" s="88"/>
      <c r="L18" s="88"/>
      <c r="M18" s="88"/>
      <c r="N18" s="88"/>
    </row>
    <row r="19" spans="1:16" ht="15" customHeight="1" x14ac:dyDescent="0.55000000000000004">
      <c r="A19" s="86">
        <v>12</v>
      </c>
      <c r="B19" s="87" t="s">
        <v>282</v>
      </c>
      <c r="C19" s="88"/>
      <c r="D19" s="88"/>
      <c r="E19" s="88"/>
      <c r="F19" s="88"/>
      <c r="G19" s="88"/>
      <c r="H19" s="88"/>
      <c r="I19" s="88"/>
      <c r="J19" s="88"/>
      <c r="K19" s="88"/>
      <c r="L19" s="88"/>
      <c r="M19" s="88"/>
      <c r="N19" s="88"/>
    </row>
    <row r="20" spans="1:16" ht="15" customHeight="1" x14ac:dyDescent="0.55000000000000004">
      <c r="A20" s="86">
        <v>13</v>
      </c>
      <c r="B20" s="89" t="s">
        <v>283</v>
      </c>
      <c r="C20" s="90">
        <f t="shared" ref="C20:N20" si="3">C18+C19</f>
        <v>0</v>
      </c>
      <c r="D20" s="90">
        <f t="shared" si="3"/>
        <v>0</v>
      </c>
      <c r="E20" s="90">
        <f t="shared" si="3"/>
        <v>0</v>
      </c>
      <c r="F20" s="90">
        <f t="shared" si="3"/>
        <v>0</v>
      </c>
      <c r="G20" s="90">
        <f t="shared" si="3"/>
        <v>0</v>
      </c>
      <c r="H20" s="90">
        <f t="shared" si="3"/>
        <v>0</v>
      </c>
      <c r="I20" s="90">
        <f t="shared" si="3"/>
        <v>0</v>
      </c>
      <c r="J20" s="90">
        <f t="shared" si="3"/>
        <v>0</v>
      </c>
      <c r="K20" s="90">
        <f t="shared" si="3"/>
        <v>0</v>
      </c>
      <c r="L20" s="90">
        <f t="shared" si="3"/>
        <v>0</v>
      </c>
      <c r="M20" s="90">
        <f t="shared" si="3"/>
        <v>0</v>
      </c>
      <c r="N20" s="90">
        <f t="shared" si="3"/>
        <v>0</v>
      </c>
    </row>
    <row r="21" spans="1:16" ht="15" customHeight="1" x14ac:dyDescent="0.55000000000000004">
      <c r="A21" s="86">
        <v>14</v>
      </c>
      <c r="B21" s="87" t="s">
        <v>284</v>
      </c>
      <c r="C21" s="88"/>
      <c r="D21" s="88"/>
      <c r="E21" s="88"/>
      <c r="F21" s="88"/>
      <c r="G21" s="88"/>
      <c r="H21" s="88"/>
      <c r="I21" s="88"/>
      <c r="J21" s="88"/>
      <c r="K21" s="88"/>
      <c r="L21" s="88"/>
      <c r="M21" s="88"/>
      <c r="N21" s="88"/>
    </row>
    <row r="22" spans="1:16" ht="15" customHeight="1" x14ac:dyDescent="0.55000000000000004">
      <c r="A22" s="86">
        <v>15</v>
      </c>
      <c r="B22" s="87" t="s">
        <v>285</v>
      </c>
      <c r="C22" s="88"/>
      <c r="D22" s="88"/>
      <c r="E22" s="88"/>
      <c r="F22" s="88"/>
      <c r="G22" s="88"/>
      <c r="H22" s="88"/>
      <c r="I22" s="88"/>
      <c r="J22" s="88"/>
      <c r="K22" s="88"/>
      <c r="L22" s="88"/>
      <c r="M22" s="88"/>
      <c r="N22" s="88"/>
    </row>
    <row r="23" spans="1:16" ht="15" customHeight="1" x14ac:dyDescent="0.55000000000000004">
      <c r="A23" s="86">
        <v>16</v>
      </c>
      <c r="B23" s="87" t="s">
        <v>286</v>
      </c>
      <c r="C23" s="88"/>
      <c r="D23" s="88"/>
      <c r="E23" s="88"/>
      <c r="F23" s="88"/>
      <c r="G23" s="88"/>
      <c r="H23" s="88"/>
      <c r="I23" s="88"/>
      <c r="J23" s="88"/>
      <c r="K23" s="88"/>
      <c r="L23" s="88"/>
      <c r="M23" s="88"/>
      <c r="N23" s="88"/>
    </row>
    <row r="24" spans="1:16" ht="15" customHeight="1" x14ac:dyDescent="0.55000000000000004">
      <c r="A24" s="86">
        <v>17</v>
      </c>
      <c r="B24" s="87" t="s">
        <v>287</v>
      </c>
      <c r="C24" s="88"/>
      <c r="D24" s="88"/>
      <c r="E24" s="88"/>
      <c r="F24" s="88"/>
      <c r="G24" s="88"/>
      <c r="H24" s="88"/>
      <c r="I24" s="88"/>
      <c r="J24" s="88"/>
      <c r="K24" s="88"/>
      <c r="L24" s="88"/>
      <c r="M24" s="88"/>
      <c r="N24" s="88"/>
    </row>
    <row r="25" spans="1:16" ht="15" customHeight="1" x14ac:dyDescent="0.55000000000000004">
      <c r="A25" s="86">
        <v>18</v>
      </c>
      <c r="B25" s="92" t="s">
        <v>288</v>
      </c>
      <c r="C25" s="88"/>
      <c r="D25" s="88"/>
      <c r="E25" s="88"/>
      <c r="F25" s="88"/>
      <c r="G25" s="88"/>
      <c r="H25" s="88"/>
      <c r="I25" s="88"/>
      <c r="J25" s="88"/>
      <c r="K25" s="88"/>
      <c r="L25" s="88"/>
      <c r="M25" s="88"/>
      <c r="N25" s="88"/>
    </row>
    <row r="26" spans="1:16" ht="15" customHeight="1" x14ac:dyDescent="0.55000000000000004">
      <c r="A26" s="86">
        <v>19</v>
      </c>
      <c r="B26" s="92" t="s">
        <v>289</v>
      </c>
      <c r="C26" s="88"/>
      <c r="D26" s="88"/>
      <c r="E26" s="88"/>
      <c r="F26" s="88"/>
      <c r="G26" s="88"/>
      <c r="H26" s="88"/>
      <c r="I26" s="88"/>
      <c r="J26" s="88"/>
      <c r="K26" s="88"/>
      <c r="L26" s="88"/>
      <c r="M26" s="88"/>
      <c r="N26" s="88"/>
    </row>
    <row r="27" spans="1:16" ht="15" customHeight="1" x14ac:dyDescent="0.55000000000000004">
      <c r="A27" s="86">
        <v>20</v>
      </c>
      <c r="B27" s="89" t="s">
        <v>290</v>
      </c>
      <c r="C27" s="90">
        <f t="shared" ref="C27:N27" si="4">C17+C20+C21+C22+C23+C24+C25-C26</f>
        <v>0</v>
      </c>
      <c r="D27" s="90">
        <f t="shared" si="4"/>
        <v>0</v>
      </c>
      <c r="E27" s="90">
        <f t="shared" si="4"/>
        <v>0</v>
      </c>
      <c r="F27" s="90">
        <f t="shared" si="4"/>
        <v>0</v>
      </c>
      <c r="G27" s="90">
        <f t="shared" si="4"/>
        <v>0</v>
      </c>
      <c r="H27" s="90">
        <f t="shared" si="4"/>
        <v>0</v>
      </c>
      <c r="I27" s="90">
        <f t="shared" si="4"/>
        <v>0</v>
      </c>
      <c r="J27" s="90">
        <f t="shared" si="4"/>
        <v>0</v>
      </c>
      <c r="K27" s="90">
        <f t="shared" si="4"/>
        <v>0</v>
      </c>
      <c r="L27" s="90">
        <f t="shared" si="4"/>
        <v>0</v>
      </c>
      <c r="M27" s="90">
        <f t="shared" si="4"/>
        <v>0</v>
      </c>
      <c r="N27" s="90">
        <f t="shared" si="4"/>
        <v>0</v>
      </c>
    </row>
    <row r="28" spans="1:16" ht="15" customHeight="1" x14ac:dyDescent="0.55000000000000004">
      <c r="A28" s="86">
        <v>21</v>
      </c>
      <c r="B28" s="92" t="s">
        <v>291</v>
      </c>
      <c r="C28" s="88"/>
      <c r="D28" s="88"/>
      <c r="E28" s="88"/>
      <c r="F28" s="88"/>
      <c r="G28" s="88"/>
      <c r="H28" s="88"/>
      <c r="I28" s="88"/>
      <c r="J28" s="88"/>
      <c r="K28" s="88"/>
      <c r="L28" s="88"/>
      <c r="M28" s="88"/>
      <c r="N28" s="88"/>
    </row>
    <row r="29" spans="1:16" ht="15" customHeight="1" x14ac:dyDescent="0.55000000000000004">
      <c r="A29" s="86">
        <v>22</v>
      </c>
      <c r="B29" s="92" t="s">
        <v>292</v>
      </c>
      <c r="C29" s="88"/>
      <c r="D29" s="88"/>
      <c r="E29" s="88"/>
      <c r="F29" s="88"/>
      <c r="G29" s="88"/>
      <c r="H29" s="88"/>
      <c r="I29" s="88"/>
      <c r="J29" s="88"/>
      <c r="K29" s="88"/>
      <c r="L29" s="88"/>
      <c r="M29" s="88"/>
      <c r="N29" s="88"/>
    </row>
    <row r="30" spans="1:16" ht="15" customHeight="1" x14ac:dyDescent="0.55000000000000004">
      <c r="A30" s="86">
        <v>23</v>
      </c>
      <c r="B30" s="89" t="s">
        <v>293</v>
      </c>
      <c r="C30" s="90">
        <f t="shared" ref="C30:N30" si="5">C27+C28-C29</f>
        <v>0</v>
      </c>
      <c r="D30" s="90">
        <f t="shared" si="5"/>
        <v>0</v>
      </c>
      <c r="E30" s="90">
        <f t="shared" si="5"/>
        <v>0</v>
      </c>
      <c r="F30" s="90">
        <f t="shared" si="5"/>
        <v>0</v>
      </c>
      <c r="G30" s="90">
        <f t="shared" si="5"/>
        <v>0</v>
      </c>
      <c r="H30" s="90">
        <f t="shared" si="5"/>
        <v>0</v>
      </c>
      <c r="I30" s="90">
        <f t="shared" si="5"/>
        <v>0</v>
      </c>
      <c r="J30" s="90">
        <f t="shared" si="5"/>
        <v>0</v>
      </c>
      <c r="K30" s="90">
        <f t="shared" si="5"/>
        <v>0</v>
      </c>
      <c r="L30" s="90">
        <f t="shared" si="5"/>
        <v>0</v>
      </c>
      <c r="M30" s="90">
        <f t="shared" si="5"/>
        <v>0</v>
      </c>
      <c r="N30" s="90">
        <f t="shared" si="5"/>
        <v>0</v>
      </c>
    </row>
    <row r="31" spans="1:16" ht="19.5" customHeight="1" x14ac:dyDescent="0.55000000000000004">
      <c r="A31" s="310" t="s">
        <v>294</v>
      </c>
      <c r="B31" s="310"/>
      <c r="C31" s="310"/>
      <c r="D31" s="310"/>
      <c r="E31" s="310"/>
      <c r="F31" s="310"/>
      <c r="G31" s="310"/>
      <c r="H31" s="310"/>
      <c r="I31" s="310"/>
      <c r="J31" s="310"/>
      <c r="K31" s="310"/>
      <c r="L31" s="310"/>
      <c r="M31" s="310"/>
      <c r="N31" s="310"/>
      <c r="O31" s="310"/>
      <c r="P31" s="310"/>
    </row>
    <row r="32" spans="1:16" ht="15" customHeight="1" x14ac:dyDescent="0.55000000000000004">
      <c r="A32" s="86">
        <v>24</v>
      </c>
      <c r="B32" s="87" t="s">
        <v>295</v>
      </c>
      <c r="C32" s="88"/>
      <c r="D32" s="88"/>
      <c r="E32" s="88"/>
      <c r="F32" s="88"/>
      <c r="G32" s="88"/>
      <c r="H32" s="88"/>
      <c r="I32" s="88"/>
      <c r="J32" s="88"/>
      <c r="K32" s="88"/>
      <c r="L32" s="88"/>
      <c r="M32" s="88"/>
      <c r="N32" s="88"/>
    </row>
    <row r="33" spans="1:16" ht="15" customHeight="1" x14ac:dyDescent="0.55000000000000004">
      <c r="A33" s="86">
        <v>25</v>
      </c>
      <c r="B33" s="89" t="s">
        <v>296</v>
      </c>
      <c r="C33" s="90">
        <f t="shared" ref="C33:N33" si="6">C13-C30-C32</f>
        <v>0</v>
      </c>
      <c r="D33" s="90">
        <f t="shared" si="6"/>
        <v>0</v>
      </c>
      <c r="E33" s="90">
        <f t="shared" si="6"/>
        <v>0</v>
      </c>
      <c r="F33" s="90">
        <f t="shared" si="6"/>
        <v>0</v>
      </c>
      <c r="G33" s="90">
        <f t="shared" si="6"/>
        <v>0</v>
      </c>
      <c r="H33" s="90">
        <f t="shared" si="6"/>
        <v>0</v>
      </c>
      <c r="I33" s="90">
        <f t="shared" si="6"/>
        <v>0</v>
      </c>
      <c r="J33" s="90">
        <f t="shared" si="6"/>
        <v>0</v>
      </c>
      <c r="K33" s="90">
        <f t="shared" si="6"/>
        <v>0</v>
      </c>
      <c r="L33" s="90">
        <f t="shared" si="6"/>
        <v>0</v>
      </c>
      <c r="M33" s="90">
        <f t="shared" si="6"/>
        <v>0</v>
      </c>
      <c r="N33" s="90">
        <f t="shared" si="6"/>
        <v>0</v>
      </c>
      <c r="O33" s="91" t="str">
        <f>IFERROR((INDEX(C33:N33,1,LatestAudCol)-INDEX(C33:N33,1,PriorAudCol))/ABS(INDEX(C33:N33,1,PriorAudCol)),"")</f>
        <v/>
      </c>
    </row>
    <row r="34" spans="1:16" ht="15" customHeight="1" x14ac:dyDescent="0.55000000000000004">
      <c r="A34" s="86">
        <v>26</v>
      </c>
      <c r="B34" s="87" t="s">
        <v>297</v>
      </c>
      <c r="C34" s="88"/>
      <c r="D34" s="88"/>
      <c r="E34" s="88"/>
      <c r="F34" s="88"/>
      <c r="G34" s="88"/>
      <c r="H34" s="88"/>
      <c r="I34" s="88"/>
      <c r="J34" s="88"/>
      <c r="K34" s="88"/>
      <c r="L34" s="88"/>
      <c r="M34" s="88"/>
      <c r="N34" s="88"/>
    </row>
    <row r="35" spans="1:16" ht="15" customHeight="1" x14ac:dyDescent="0.55000000000000004">
      <c r="A35" s="86">
        <v>27</v>
      </c>
      <c r="B35" s="87" t="s">
        <v>298</v>
      </c>
      <c r="C35" s="88"/>
      <c r="D35" s="88"/>
      <c r="E35" s="88"/>
      <c r="F35" s="88"/>
      <c r="G35" s="88"/>
      <c r="H35" s="88"/>
      <c r="I35" s="88"/>
      <c r="J35" s="88"/>
      <c r="K35" s="88"/>
      <c r="L35" s="88"/>
      <c r="M35" s="88"/>
      <c r="N35" s="88"/>
    </row>
    <row r="36" spans="1:16" ht="15" customHeight="1" x14ac:dyDescent="0.55000000000000004">
      <c r="A36" s="86">
        <v>28</v>
      </c>
      <c r="B36" s="87" t="s">
        <v>299</v>
      </c>
      <c r="C36" s="88"/>
      <c r="D36" s="88"/>
      <c r="E36" s="88"/>
      <c r="F36" s="88"/>
      <c r="G36" s="88"/>
      <c r="H36" s="88"/>
      <c r="I36" s="88"/>
      <c r="J36" s="88"/>
      <c r="K36" s="88"/>
      <c r="L36" s="88"/>
      <c r="M36" s="88"/>
      <c r="N36" s="88"/>
    </row>
    <row r="37" spans="1:16" ht="15" customHeight="1" x14ac:dyDescent="0.55000000000000004">
      <c r="A37" s="86">
        <v>29</v>
      </c>
      <c r="B37" s="89" t="s">
        <v>300</v>
      </c>
      <c r="C37" s="90">
        <f t="shared" ref="C37:N37" si="7">C34+C35+C36</f>
        <v>0</v>
      </c>
      <c r="D37" s="90">
        <f t="shared" si="7"/>
        <v>0</v>
      </c>
      <c r="E37" s="90">
        <f t="shared" si="7"/>
        <v>0</v>
      </c>
      <c r="F37" s="90">
        <f t="shared" si="7"/>
        <v>0</v>
      </c>
      <c r="G37" s="90">
        <f t="shared" si="7"/>
        <v>0</v>
      </c>
      <c r="H37" s="90">
        <f t="shared" si="7"/>
        <v>0</v>
      </c>
      <c r="I37" s="90">
        <f t="shared" si="7"/>
        <v>0</v>
      </c>
      <c r="J37" s="90">
        <f t="shared" si="7"/>
        <v>0</v>
      </c>
      <c r="K37" s="90">
        <f t="shared" si="7"/>
        <v>0</v>
      </c>
      <c r="L37" s="90">
        <f t="shared" si="7"/>
        <v>0</v>
      </c>
      <c r="M37" s="90">
        <f t="shared" si="7"/>
        <v>0</v>
      </c>
      <c r="N37" s="90">
        <f t="shared" si="7"/>
        <v>0</v>
      </c>
    </row>
    <row r="38" spans="1:16" ht="15" customHeight="1" x14ac:dyDescent="0.55000000000000004">
      <c r="A38" s="86">
        <v>30</v>
      </c>
      <c r="B38" s="89" t="s">
        <v>301</v>
      </c>
      <c r="C38" s="90">
        <f t="shared" ref="C38:N38" si="8">C33-C37</f>
        <v>0</v>
      </c>
      <c r="D38" s="90">
        <f t="shared" si="8"/>
        <v>0</v>
      </c>
      <c r="E38" s="90">
        <f t="shared" si="8"/>
        <v>0</v>
      </c>
      <c r="F38" s="90">
        <f t="shared" si="8"/>
        <v>0</v>
      </c>
      <c r="G38" s="90">
        <f t="shared" si="8"/>
        <v>0</v>
      </c>
      <c r="H38" s="90">
        <f t="shared" si="8"/>
        <v>0</v>
      </c>
      <c r="I38" s="90">
        <f t="shared" si="8"/>
        <v>0</v>
      </c>
      <c r="J38" s="90">
        <f t="shared" si="8"/>
        <v>0</v>
      </c>
      <c r="K38" s="90">
        <f t="shared" si="8"/>
        <v>0</v>
      </c>
      <c r="L38" s="90">
        <f t="shared" si="8"/>
        <v>0</v>
      </c>
      <c r="M38" s="90">
        <f t="shared" si="8"/>
        <v>0</v>
      </c>
      <c r="N38" s="90">
        <f t="shared" si="8"/>
        <v>0</v>
      </c>
      <c r="O38" s="91" t="str">
        <f>IFERROR((INDEX(C38:N38,1,LatestAudCol)-INDEX(C38:N38,1,PriorAudCol))/ABS(INDEX(C38:N38,1,PriorAudCol)),"")</f>
        <v/>
      </c>
    </row>
    <row r="39" spans="1:16" ht="19.5" customHeight="1" x14ac:dyDescent="0.55000000000000004">
      <c r="A39" s="310" t="s">
        <v>302</v>
      </c>
      <c r="B39" s="310"/>
      <c r="C39" s="310"/>
      <c r="D39" s="310"/>
      <c r="E39" s="310"/>
      <c r="F39" s="310"/>
      <c r="G39" s="310"/>
      <c r="H39" s="310"/>
      <c r="I39" s="310"/>
      <c r="J39" s="310"/>
      <c r="K39" s="310"/>
      <c r="L39" s="310"/>
      <c r="M39" s="310"/>
      <c r="N39" s="310"/>
      <c r="O39" s="310"/>
      <c r="P39" s="310"/>
    </row>
    <row r="40" spans="1:16" ht="15" customHeight="1" x14ac:dyDescent="0.55000000000000004">
      <c r="A40" s="86">
        <v>31</v>
      </c>
      <c r="B40" s="87" t="s">
        <v>303</v>
      </c>
      <c r="C40" s="88"/>
      <c r="D40" s="88"/>
      <c r="E40" s="88"/>
      <c r="F40" s="88"/>
      <c r="G40" s="88"/>
      <c r="H40" s="88"/>
      <c r="I40" s="88"/>
      <c r="J40" s="88"/>
      <c r="K40" s="88"/>
      <c r="L40" s="88"/>
      <c r="M40" s="88"/>
      <c r="N40" s="88"/>
    </row>
    <row r="41" spans="1:16" ht="15" customHeight="1" x14ac:dyDescent="0.55000000000000004">
      <c r="A41" s="86">
        <v>32</v>
      </c>
      <c r="B41" s="87" t="s">
        <v>304</v>
      </c>
      <c r="C41" s="88"/>
      <c r="D41" s="88"/>
      <c r="E41" s="88"/>
      <c r="F41" s="88"/>
      <c r="G41" s="88"/>
      <c r="H41" s="88"/>
      <c r="I41" s="88"/>
      <c r="J41" s="88"/>
      <c r="K41" s="88"/>
      <c r="L41" s="88"/>
      <c r="M41" s="88"/>
      <c r="N41" s="88"/>
    </row>
    <row r="42" spans="1:16" ht="15" customHeight="1" x14ac:dyDescent="0.55000000000000004">
      <c r="A42" s="86">
        <v>33</v>
      </c>
      <c r="B42" s="87" t="s">
        <v>305</v>
      </c>
      <c r="C42" s="88"/>
      <c r="D42" s="88"/>
      <c r="E42" s="88"/>
      <c r="F42" s="88"/>
      <c r="G42" s="88"/>
      <c r="H42" s="88"/>
      <c r="I42" s="88"/>
      <c r="J42" s="88"/>
      <c r="K42" s="88"/>
      <c r="L42" s="88"/>
      <c r="M42" s="88"/>
      <c r="N42" s="88"/>
    </row>
    <row r="43" spans="1:16" ht="15" customHeight="1" x14ac:dyDescent="0.55000000000000004">
      <c r="A43" s="86">
        <v>34</v>
      </c>
      <c r="B43" s="87" t="s">
        <v>306</v>
      </c>
      <c r="C43" s="88"/>
      <c r="D43" s="88"/>
      <c r="E43" s="88"/>
      <c r="F43" s="88"/>
      <c r="G43" s="88"/>
      <c r="H43" s="88"/>
      <c r="I43" s="88"/>
      <c r="J43" s="88"/>
      <c r="K43" s="88"/>
      <c r="L43" s="88"/>
      <c r="M43" s="88"/>
      <c r="N43" s="88"/>
    </row>
    <row r="44" spans="1:16" ht="15" customHeight="1" x14ac:dyDescent="0.55000000000000004">
      <c r="A44" s="86">
        <v>35</v>
      </c>
      <c r="B44" s="87" t="s">
        <v>307</v>
      </c>
      <c r="C44" s="88"/>
      <c r="D44" s="88"/>
      <c r="E44" s="88"/>
      <c r="F44" s="88"/>
      <c r="G44" s="88"/>
      <c r="H44" s="88"/>
      <c r="I44" s="88"/>
      <c r="J44" s="88"/>
      <c r="K44" s="88"/>
      <c r="L44" s="88"/>
      <c r="M44" s="88"/>
      <c r="N44" s="88"/>
    </row>
    <row r="45" spans="1:16" ht="15" customHeight="1" x14ac:dyDescent="0.55000000000000004">
      <c r="A45" s="86">
        <v>36</v>
      </c>
      <c r="B45" s="89" t="s">
        <v>308</v>
      </c>
      <c r="C45" s="90">
        <f t="shared" ref="C45:N45" si="9">SUM(C40:C44)</f>
        <v>0</v>
      </c>
      <c r="D45" s="90">
        <f t="shared" si="9"/>
        <v>0</v>
      </c>
      <c r="E45" s="90">
        <f t="shared" si="9"/>
        <v>0</v>
      </c>
      <c r="F45" s="90">
        <f t="shared" si="9"/>
        <v>0</v>
      </c>
      <c r="G45" s="90">
        <f t="shared" si="9"/>
        <v>0</v>
      </c>
      <c r="H45" s="90">
        <f t="shared" si="9"/>
        <v>0</v>
      </c>
      <c r="I45" s="90">
        <f t="shared" si="9"/>
        <v>0</v>
      </c>
      <c r="J45" s="90">
        <f t="shared" si="9"/>
        <v>0</v>
      </c>
      <c r="K45" s="90">
        <f t="shared" si="9"/>
        <v>0</v>
      </c>
      <c r="L45" s="90">
        <f t="shared" si="9"/>
        <v>0</v>
      </c>
      <c r="M45" s="90">
        <f t="shared" si="9"/>
        <v>0</v>
      </c>
      <c r="N45" s="90">
        <f t="shared" si="9"/>
        <v>0</v>
      </c>
    </row>
    <row r="46" spans="1:16" ht="15" customHeight="1" x14ac:dyDescent="0.55000000000000004">
      <c r="A46" s="86">
        <v>37</v>
      </c>
      <c r="B46" s="87" t="s">
        <v>309</v>
      </c>
      <c r="C46" s="88"/>
      <c r="D46" s="88"/>
      <c r="E46" s="88"/>
      <c r="F46" s="88"/>
      <c r="G46" s="88"/>
      <c r="H46" s="88"/>
      <c r="I46" s="88"/>
      <c r="J46" s="88"/>
      <c r="K46" s="88"/>
      <c r="L46" s="88"/>
      <c r="M46" s="88"/>
      <c r="N46" s="88"/>
    </row>
    <row r="47" spans="1:16" ht="15" customHeight="1" x14ac:dyDescent="0.55000000000000004">
      <c r="A47" s="86">
        <v>38</v>
      </c>
      <c r="B47" s="87" t="s">
        <v>310</v>
      </c>
      <c r="C47" s="88"/>
      <c r="D47" s="88"/>
      <c r="E47" s="88"/>
      <c r="F47" s="88"/>
      <c r="G47" s="88"/>
      <c r="H47" s="88"/>
      <c r="I47" s="88"/>
      <c r="J47" s="88"/>
      <c r="K47" s="88"/>
      <c r="L47" s="88"/>
      <c r="M47" s="88"/>
      <c r="N47" s="88"/>
    </row>
    <row r="48" spans="1:16" ht="15" customHeight="1" x14ac:dyDescent="0.55000000000000004">
      <c r="A48" s="86">
        <v>39</v>
      </c>
      <c r="B48" s="87" t="s">
        <v>311</v>
      </c>
      <c r="C48" s="88"/>
      <c r="D48" s="88"/>
      <c r="E48" s="88"/>
      <c r="F48" s="88"/>
      <c r="G48" s="88"/>
      <c r="H48" s="88"/>
      <c r="I48" s="88"/>
      <c r="J48" s="88"/>
      <c r="K48" s="88"/>
      <c r="L48" s="88"/>
      <c r="M48" s="88"/>
      <c r="N48" s="88"/>
    </row>
    <row r="49" spans="1:16" ht="15" customHeight="1" x14ac:dyDescent="0.55000000000000004">
      <c r="A49" s="86">
        <v>40</v>
      </c>
      <c r="B49" s="87" t="s">
        <v>312</v>
      </c>
      <c r="C49" s="88"/>
      <c r="D49" s="88"/>
      <c r="E49" s="88"/>
      <c r="F49" s="88"/>
      <c r="G49" s="88"/>
      <c r="H49" s="88"/>
      <c r="I49" s="88"/>
      <c r="J49" s="88"/>
      <c r="K49" s="88"/>
      <c r="L49" s="88"/>
      <c r="M49" s="88"/>
      <c r="N49" s="88"/>
    </row>
    <row r="50" spans="1:16" ht="15" customHeight="1" x14ac:dyDescent="0.55000000000000004">
      <c r="A50" s="86">
        <v>41</v>
      </c>
      <c r="B50" s="87" t="s">
        <v>313</v>
      </c>
      <c r="C50" s="88"/>
      <c r="D50" s="88"/>
      <c r="E50" s="88"/>
      <c r="F50" s="88"/>
      <c r="G50" s="88"/>
      <c r="H50" s="88"/>
      <c r="I50" s="88"/>
      <c r="J50" s="88"/>
      <c r="K50" s="88"/>
      <c r="L50" s="88"/>
      <c r="M50" s="88"/>
      <c r="N50" s="88"/>
    </row>
    <row r="51" spans="1:16" ht="15" customHeight="1" x14ac:dyDescent="0.55000000000000004">
      <c r="A51" s="86">
        <v>42</v>
      </c>
      <c r="B51" s="89" t="s">
        <v>314</v>
      </c>
      <c r="C51" s="90">
        <f t="shared" ref="C51:N51" si="10">SUM(C46:C50)</f>
        <v>0</v>
      </c>
      <c r="D51" s="90">
        <f t="shared" si="10"/>
        <v>0</v>
      </c>
      <c r="E51" s="90">
        <f t="shared" si="10"/>
        <v>0</v>
      </c>
      <c r="F51" s="90">
        <f t="shared" si="10"/>
        <v>0</v>
      </c>
      <c r="G51" s="90">
        <f t="shared" si="10"/>
        <v>0</v>
      </c>
      <c r="H51" s="90">
        <f t="shared" si="10"/>
        <v>0</v>
      </c>
      <c r="I51" s="90">
        <f t="shared" si="10"/>
        <v>0</v>
      </c>
      <c r="J51" s="90">
        <f t="shared" si="10"/>
        <v>0</v>
      </c>
      <c r="K51" s="90">
        <f t="shared" si="10"/>
        <v>0</v>
      </c>
      <c r="L51" s="90">
        <f t="shared" si="10"/>
        <v>0</v>
      </c>
      <c r="M51" s="90">
        <f t="shared" si="10"/>
        <v>0</v>
      </c>
      <c r="N51" s="90">
        <f t="shared" si="10"/>
        <v>0</v>
      </c>
    </row>
    <row r="52" spans="1:16" ht="15" customHeight="1" x14ac:dyDescent="0.55000000000000004">
      <c r="A52" s="86">
        <v>43</v>
      </c>
      <c r="B52" s="89" t="s">
        <v>315</v>
      </c>
      <c r="C52" s="90">
        <f t="shared" ref="C52:N52" si="11">C45-C51</f>
        <v>0</v>
      </c>
      <c r="D52" s="90">
        <f t="shared" si="11"/>
        <v>0</v>
      </c>
      <c r="E52" s="90">
        <f t="shared" si="11"/>
        <v>0</v>
      </c>
      <c r="F52" s="90">
        <f t="shared" si="11"/>
        <v>0</v>
      </c>
      <c r="G52" s="90">
        <f t="shared" si="11"/>
        <v>0</v>
      </c>
      <c r="H52" s="90">
        <f t="shared" si="11"/>
        <v>0</v>
      </c>
      <c r="I52" s="90">
        <f t="shared" si="11"/>
        <v>0</v>
      </c>
      <c r="J52" s="90">
        <f t="shared" si="11"/>
        <v>0</v>
      </c>
      <c r="K52" s="90">
        <f t="shared" si="11"/>
        <v>0</v>
      </c>
      <c r="L52" s="90">
        <f t="shared" si="11"/>
        <v>0</v>
      </c>
      <c r="M52" s="90">
        <f t="shared" si="11"/>
        <v>0</v>
      </c>
      <c r="N52" s="90">
        <f t="shared" si="11"/>
        <v>0</v>
      </c>
    </row>
    <row r="53" spans="1:16" ht="19.5" customHeight="1" x14ac:dyDescent="0.55000000000000004">
      <c r="A53" s="310" t="s">
        <v>316</v>
      </c>
      <c r="B53" s="310"/>
      <c r="C53" s="310"/>
      <c r="D53" s="310"/>
      <c r="E53" s="310"/>
      <c r="F53" s="310"/>
      <c r="G53" s="310"/>
      <c r="H53" s="310"/>
      <c r="I53" s="310"/>
      <c r="J53" s="310"/>
      <c r="K53" s="310"/>
      <c r="L53" s="310"/>
      <c r="M53" s="310"/>
      <c r="N53" s="310"/>
      <c r="O53" s="310"/>
      <c r="P53" s="310"/>
    </row>
    <row r="54" spans="1:16" ht="15" customHeight="1" x14ac:dyDescent="0.55000000000000004">
      <c r="A54" s="86">
        <v>44</v>
      </c>
      <c r="B54" s="89" t="s">
        <v>317</v>
      </c>
      <c r="C54" s="90">
        <f t="shared" ref="C54:N54" si="12">C38+C52</f>
        <v>0</v>
      </c>
      <c r="D54" s="90">
        <f t="shared" si="12"/>
        <v>0</v>
      </c>
      <c r="E54" s="90">
        <f t="shared" si="12"/>
        <v>0</v>
      </c>
      <c r="F54" s="90">
        <f t="shared" si="12"/>
        <v>0</v>
      </c>
      <c r="G54" s="90">
        <f t="shared" si="12"/>
        <v>0</v>
      </c>
      <c r="H54" s="90">
        <f t="shared" si="12"/>
        <v>0</v>
      </c>
      <c r="I54" s="90">
        <f t="shared" si="12"/>
        <v>0</v>
      </c>
      <c r="J54" s="90">
        <f t="shared" si="12"/>
        <v>0</v>
      </c>
      <c r="K54" s="90">
        <f t="shared" si="12"/>
        <v>0</v>
      </c>
      <c r="L54" s="90">
        <f t="shared" si="12"/>
        <v>0</v>
      </c>
      <c r="M54" s="90">
        <f t="shared" si="12"/>
        <v>0</v>
      </c>
      <c r="N54" s="90">
        <f t="shared" si="12"/>
        <v>0</v>
      </c>
      <c r="O54" s="91" t="str">
        <f>IFERROR((INDEX(C54:N54,1,LatestAudCol)-INDEX(C54:N54,1,PriorAudCol))/ABS(INDEX(C54:N54,1,PriorAudCol)),"")</f>
        <v/>
      </c>
    </row>
    <row r="55" spans="1:16" ht="15" customHeight="1" x14ac:dyDescent="0.55000000000000004">
      <c r="A55" s="86">
        <v>45</v>
      </c>
      <c r="B55" s="87" t="s">
        <v>318</v>
      </c>
      <c r="C55" s="88"/>
      <c r="D55" s="88"/>
      <c r="E55" s="88"/>
      <c r="F55" s="88"/>
      <c r="G55" s="88"/>
      <c r="H55" s="88"/>
      <c r="I55" s="88"/>
      <c r="J55" s="88"/>
      <c r="K55" s="88"/>
      <c r="L55" s="88"/>
      <c r="M55" s="88"/>
      <c r="N55" s="88"/>
    </row>
    <row r="56" spans="1:16" ht="15" customHeight="1" x14ac:dyDescent="0.55000000000000004">
      <c r="A56" s="86">
        <v>46</v>
      </c>
      <c r="B56" s="87" t="s">
        <v>319</v>
      </c>
      <c r="C56" s="88"/>
      <c r="D56" s="88"/>
      <c r="E56" s="88"/>
      <c r="F56" s="88"/>
      <c r="G56" s="88"/>
      <c r="H56" s="88"/>
      <c r="I56" s="88"/>
      <c r="J56" s="88"/>
      <c r="K56" s="88"/>
      <c r="L56" s="88"/>
      <c r="M56" s="88"/>
      <c r="N56" s="88"/>
    </row>
    <row r="57" spans="1:16" ht="15" customHeight="1" x14ac:dyDescent="0.55000000000000004">
      <c r="A57" s="86">
        <v>47</v>
      </c>
      <c r="B57" s="87" t="s">
        <v>320</v>
      </c>
      <c r="C57" s="88"/>
      <c r="D57" s="88"/>
      <c r="E57" s="88"/>
      <c r="F57" s="88"/>
      <c r="G57" s="88"/>
      <c r="H57" s="88"/>
      <c r="I57" s="88"/>
      <c r="J57" s="88"/>
      <c r="K57" s="88"/>
      <c r="L57" s="88"/>
      <c r="M57" s="88"/>
      <c r="N57" s="88"/>
    </row>
    <row r="58" spans="1:16" ht="15" customHeight="1" x14ac:dyDescent="0.55000000000000004">
      <c r="A58" s="86">
        <v>48</v>
      </c>
      <c r="B58" s="89" t="s">
        <v>321</v>
      </c>
      <c r="C58" s="90">
        <f t="shared" ref="C58:N58" si="13">C54-C56-C57+C55</f>
        <v>0</v>
      </c>
      <c r="D58" s="90">
        <f t="shared" si="13"/>
        <v>0</v>
      </c>
      <c r="E58" s="90">
        <f t="shared" si="13"/>
        <v>0</v>
      </c>
      <c r="F58" s="90">
        <f t="shared" si="13"/>
        <v>0</v>
      </c>
      <c r="G58" s="90">
        <f t="shared" si="13"/>
        <v>0</v>
      </c>
      <c r="H58" s="90">
        <f t="shared" si="13"/>
        <v>0</v>
      </c>
      <c r="I58" s="90">
        <f t="shared" si="13"/>
        <v>0</v>
      </c>
      <c r="J58" s="90">
        <f t="shared" si="13"/>
        <v>0</v>
      </c>
      <c r="K58" s="90">
        <f t="shared" si="13"/>
        <v>0</v>
      </c>
      <c r="L58" s="90">
        <f t="shared" si="13"/>
        <v>0</v>
      </c>
      <c r="M58" s="90">
        <f t="shared" si="13"/>
        <v>0</v>
      </c>
      <c r="N58" s="90">
        <f t="shared" si="13"/>
        <v>0</v>
      </c>
      <c r="O58" s="91" t="str">
        <f>IFERROR((INDEX(C58:N58,1,LatestAudCol)-INDEX(C58:N58,1,PriorAudCol))/ABS(INDEX(C58:N58,1,PriorAudCol)),"")</f>
        <v/>
      </c>
    </row>
    <row r="59" spans="1:16" ht="15" customHeight="1" x14ac:dyDescent="0.55000000000000004">
      <c r="A59" s="86">
        <v>49</v>
      </c>
      <c r="B59" s="87" t="s">
        <v>322</v>
      </c>
      <c r="C59" s="88"/>
      <c r="D59" s="88"/>
      <c r="E59" s="88"/>
      <c r="F59" s="88"/>
      <c r="G59" s="88"/>
      <c r="H59" s="88"/>
      <c r="I59" s="88"/>
      <c r="J59" s="88"/>
      <c r="K59" s="88"/>
      <c r="L59" s="88"/>
      <c r="M59" s="88"/>
      <c r="N59" s="88"/>
    </row>
    <row r="60" spans="1:16" ht="15" customHeight="1" x14ac:dyDescent="0.55000000000000004">
      <c r="A60" s="86">
        <v>50</v>
      </c>
      <c r="B60" s="89" t="s">
        <v>323</v>
      </c>
      <c r="C60" s="90">
        <f t="shared" ref="C60:N60" si="14">C58-C59</f>
        <v>0</v>
      </c>
      <c r="D60" s="90">
        <f t="shared" si="14"/>
        <v>0</v>
      </c>
      <c r="E60" s="90">
        <f t="shared" si="14"/>
        <v>0</v>
      </c>
      <c r="F60" s="90">
        <f t="shared" si="14"/>
        <v>0</v>
      </c>
      <c r="G60" s="90">
        <f t="shared" si="14"/>
        <v>0</v>
      </c>
      <c r="H60" s="90">
        <f t="shared" si="14"/>
        <v>0</v>
      </c>
      <c r="I60" s="90">
        <f t="shared" si="14"/>
        <v>0</v>
      </c>
      <c r="J60" s="90">
        <f t="shared" si="14"/>
        <v>0</v>
      </c>
      <c r="K60" s="90">
        <f t="shared" si="14"/>
        <v>0</v>
      </c>
      <c r="L60" s="90">
        <f t="shared" si="14"/>
        <v>0</v>
      </c>
      <c r="M60" s="90">
        <f t="shared" si="14"/>
        <v>0</v>
      </c>
      <c r="N60" s="90">
        <f t="shared" si="14"/>
        <v>0</v>
      </c>
      <c r="O60" s="91" t="str">
        <f>IFERROR((INDEX(C60:N60,1,LatestAudCol)-INDEX(C60:N60,1,PriorAudCol))/ABS(INDEX(C60:N60,1,PriorAudCol)),"")</f>
        <v/>
      </c>
    </row>
  </sheetData>
  <mergeCells count="7">
    <mergeCell ref="A39:P39"/>
    <mergeCell ref="A53:P53"/>
    <mergeCell ref="A1:P1"/>
    <mergeCell ref="A2:P2"/>
    <mergeCell ref="A6:P6"/>
    <mergeCell ref="A14:P14"/>
    <mergeCell ref="A31:P31"/>
  </mergeCells>
  <conditionalFormatting sqref="C4:C60">
    <cfRule type="expression" dxfId="112" priority="2">
      <formula>1&gt;TotalCols</formula>
    </cfRule>
  </conditionalFormatting>
  <conditionalFormatting sqref="D4:D60">
    <cfRule type="expression" dxfId="111" priority="3">
      <formula>2&gt;TotalCols</formula>
    </cfRule>
  </conditionalFormatting>
  <conditionalFormatting sqref="E4:E60">
    <cfRule type="expression" dxfId="110" priority="4">
      <formula>3&gt;TotalCols</formula>
    </cfRule>
  </conditionalFormatting>
  <conditionalFormatting sqref="F4:F60">
    <cfRule type="expression" dxfId="109" priority="5">
      <formula>4&gt;TotalCols</formula>
    </cfRule>
  </conditionalFormatting>
  <conditionalFormatting sqref="G4:G60">
    <cfRule type="expression" dxfId="108" priority="6">
      <formula>5&gt;TotalCols</formula>
    </cfRule>
  </conditionalFormatting>
  <conditionalFormatting sqref="H4:H60">
    <cfRule type="expression" dxfId="107" priority="7">
      <formula>6&gt;TotalCols</formula>
    </cfRule>
  </conditionalFormatting>
  <conditionalFormatting sqref="I4:I60">
    <cfRule type="expression" dxfId="106" priority="8">
      <formula>7&gt;TotalCols</formula>
    </cfRule>
  </conditionalFormatting>
  <conditionalFormatting sqref="J4:J60">
    <cfRule type="expression" dxfId="105" priority="9">
      <formula>8&gt;TotalCols</formula>
    </cfRule>
  </conditionalFormatting>
  <conditionalFormatting sqref="K4:K60">
    <cfRule type="expression" dxfId="104" priority="10">
      <formula>9&gt;TotalCols</formula>
    </cfRule>
  </conditionalFormatting>
  <conditionalFormatting sqref="L4:L60">
    <cfRule type="expression" dxfId="103" priority="11">
      <formula>10&gt;TotalCols</formula>
    </cfRule>
  </conditionalFormatting>
  <conditionalFormatting sqref="M4:M60">
    <cfRule type="expression" dxfId="102" priority="12">
      <formula>11&gt;TotalCols</formula>
    </cfRule>
  </conditionalFormatting>
  <conditionalFormatting sqref="N4:N60">
    <cfRule type="expression" dxfId="101" priority="13">
      <formula>12&gt;TotalCols</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P109"/>
  <sheetViews>
    <sheetView zoomScaleNormal="100" workbookViewId="0">
      <selection sqref="A1:P1"/>
    </sheetView>
  </sheetViews>
  <sheetFormatPr defaultColWidth="8.68359375" defaultRowHeight="14.4" x14ac:dyDescent="0.55000000000000004"/>
  <cols>
    <col min="1" max="1" width="6" customWidth="1"/>
    <col min="2" max="2" width="50" customWidth="1"/>
    <col min="3" max="15" width="12" customWidth="1"/>
    <col min="16" max="16" width="35" customWidth="1"/>
  </cols>
  <sheetData>
    <row r="1" spans="1:16" ht="24" customHeight="1" x14ac:dyDescent="0.55000000000000004">
      <c r="A1" s="294" t="str">
        <f>CONCATENATE("BALANCE SHEET  |  ₹ Crores  |  ", BorrowerName)</f>
        <v xml:space="preserve">BALANCE SHEET  |  ₹ Crores  |  </v>
      </c>
      <c r="B1" s="294"/>
      <c r="C1" s="294"/>
      <c r="D1" s="294"/>
      <c r="E1" s="294"/>
      <c r="F1" s="294"/>
      <c r="G1" s="294"/>
      <c r="H1" s="294"/>
      <c r="I1" s="294"/>
      <c r="J1" s="294"/>
      <c r="K1" s="294"/>
      <c r="L1" s="294"/>
      <c r="M1" s="294"/>
      <c r="N1" s="294"/>
      <c r="O1" s="294"/>
      <c r="P1" s="294"/>
    </row>
    <row r="2" spans="1:16" ht="15" customHeight="1" x14ac:dyDescent="0.55000000000000004">
      <c r="A2" s="295" t="s">
        <v>324</v>
      </c>
      <c r="B2" s="295"/>
      <c r="C2" s="295"/>
      <c r="D2" s="295"/>
      <c r="E2" s="295"/>
      <c r="F2" s="295"/>
      <c r="G2" s="295"/>
      <c r="H2" s="295"/>
      <c r="I2" s="295"/>
      <c r="J2" s="295"/>
      <c r="K2" s="295"/>
      <c r="L2" s="295"/>
      <c r="M2" s="295"/>
      <c r="N2" s="295"/>
      <c r="O2" s="295"/>
      <c r="P2" s="295"/>
    </row>
    <row r="3" spans="1:16" ht="30" customHeight="1" x14ac:dyDescent="0.55000000000000004">
      <c r="A3" s="79" t="s">
        <v>251</v>
      </c>
      <c r="B3" s="79" t="s">
        <v>252</v>
      </c>
      <c r="C3" s="80" t="s">
        <v>253</v>
      </c>
      <c r="D3" s="80" t="s">
        <v>254</v>
      </c>
      <c r="E3" s="80" t="s">
        <v>255</v>
      </c>
      <c r="F3" s="80" t="s">
        <v>256</v>
      </c>
      <c r="G3" s="80" t="s">
        <v>257</v>
      </c>
      <c r="H3" s="80" t="s">
        <v>258</v>
      </c>
      <c r="I3" s="80" t="s">
        <v>259</v>
      </c>
      <c r="J3" s="80" t="s">
        <v>260</v>
      </c>
      <c r="K3" s="80" t="s">
        <v>261</v>
      </c>
      <c r="L3" s="80" t="s">
        <v>262</v>
      </c>
      <c r="M3" s="80" t="s">
        <v>263</v>
      </c>
      <c r="N3" s="80" t="s">
        <v>264</v>
      </c>
      <c r="O3" s="81" t="s">
        <v>265</v>
      </c>
      <c r="P3" s="81" t="s">
        <v>266</v>
      </c>
    </row>
    <row r="4" spans="1:16" ht="18"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5" spans="1:16" ht="15" customHeight="1" x14ac:dyDescent="0.55000000000000004">
      <c r="B5" s="84" t="s">
        <v>268</v>
      </c>
      <c r="C5" s="85" t="str">
        <f>INDEX('0_Setup'!$C$48:$C$59,1)</f>
        <v>Audited</v>
      </c>
      <c r="D5" s="85" t="str">
        <f>INDEX('0_Setup'!$C$48:$C$59,2)</f>
        <v>Audited</v>
      </c>
      <c r="E5" s="85" t="str">
        <f>INDEX('0_Setup'!$C$48:$C$59,3)</f>
        <v>Estimated</v>
      </c>
      <c r="F5" s="85" t="str">
        <f>INDEX('0_Setup'!$C$48:$C$59,4)</f>
        <v>Audited/Provisional</v>
      </c>
      <c r="G5" s="85" t="str">
        <f>INDEX('0_Setup'!$C$48:$C$59,5)</f>
        <v>Estimated</v>
      </c>
      <c r="H5" s="85" t="str">
        <f>INDEX('0_Setup'!$C$48:$C$59,6)</f>
        <v>Projected</v>
      </c>
      <c r="I5" s="85" t="str">
        <f>INDEX('0_Setup'!$C$48:$C$59,7)</f>
        <v>Projected</v>
      </c>
      <c r="J5" s="85" t="str">
        <f>INDEX('0_Setup'!$C$48:$C$59,8)</f>
        <v>Projected</v>
      </c>
      <c r="K5" s="85" t="str">
        <f>INDEX('0_Setup'!$C$48:$C$59,9)</f>
        <v>Projected</v>
      </c>
      <c r="L5" s="85" t="str">
        <f>INDEX('0_Setup'!$C$48:$C$59,10)</f>
        <v/>
      </c>
      <c r="M5" s="85" t="str">
        <f>INDEX('0_Setup'!$C$48:$C$59,11)</f>
        <v/>
      </c>
      <c r="N5" s="85" t="str">
        <f>INDEX('0_Setup'!$C$48:$C$59,12)</f>
        <v/>
      </c>
    </row>
    <row r="6" spans="1:16" ht="19.5" customHeight="1" x14ac:dyDescent="0.55000000000000004">
      <c r="A6" s="310" t="s">
        <v>325</v>
      </c>
      <c r="B6" s="310"/>
      <c r="C6" s="310"/>
      <c r="D6" s="310"/>
      <c r="E6" s="310"/>
      <c r="F6" s="310"/>
      <c r="G6" s="310"/>
      <c r="H6" s="310"/>
      <c r="I6" s="310"/>
      <c r="J6" s="310"/>
      <c r="K6" s="310"/>
      <c r="L6" s="310"/>
      <c r="M6" s="310"/>
      <c r="N6" s="310"/>
      <c r="O6" s="310"/>
      <c r="P6" s="310"/>
    </row>
    <row r="7" spans="1:16" ht="15" customHeight="1" x14ac:dyDescent="0.55000000000000004">
      <c r="A7" s="86">
        <v>1</v>
      </c>
      <c r="B7" s="87" t="s">
        <v>326</v>
      </c>
      <c r="C7" s="88"/>
      <c r="D7" s="88"/>
      <c r="E7" s="88"/>
      <c r="F7" s="88"/>
      <c r="G7" s="88"/>
      <c r="H7" s="88"/>
      <c r="I7" s="88"/>
      <c r="J7" s="88"/>
      <c r="K7" s="88"/>
      <c r="L7" s="88"/>
      <c r="M7" s="88"/>
      <c r="N7" s="88"/>
    </row>
    <row r="8" spans="1:16" ht="15" customHeight="1" x14ac:dyDescent="0.55000000000000004">
      <c r="A8" s="86">
        <v>2</v>
      </c>
      <c r="B8" s="87" t="s">
        <v>327</v>
      </c>
      <c r="C8" s="88"/>
      <c r="D8" s="88"/>
      <c r="E8" s="88"/>
      <c r="F8" s="88"/>
      <c r="G8" s="88"/>
      <c r="H8" s="88"/>
      <c r="I8" s="88"/>
      <c r="J8" s="88"/>
      <c r="K8" s="88"/>
      <c r="L8" s="88"/>
      <c r="M8" s="88"/>
      <c r="N8" s="88"/>
    </row>
    <row r="9" spans="1:16" ht="15" customHeight="1" x14ac:dyDescent="0.55000000000000004">
      <c r="A9" s="86">
        <v>3</v>
      </c>
      <c r="B9" s="87" t="s">
        <v>328</v>
      </c>
      <c r="C9" s="88"/>
      <c r="D9" s="88"/>
      <c r="E9" s="88"/>
      <c r="F9" s="88"/>
      <c r="G9" s="88"/>
      <c r="H9" s="88"/>
      <c r="I9" s="88"/>
      <c r="J9" s="88"/>
      <c r="K9" s="88"/>
      <c r="L9" s="88"/>
      <c r="M9" s="88"/>
      <c r="N9" s="88"/>
    </row>
    <row r="10" spans="1:16" ht="15" customHeight="1" x14ac:dyDescent="0.55000000000000004">
      <c r="A10" s="86">
        <v>4</v>
      </c>
      <c r="B10" s="92" t="s">
        <v>329</v>
      </c>
      <c r="C10" s="88"/>
      <c r="D10" s="88"/>
      <c r="E10" s="88"/>
      <c r="F10" s="88"/>
      <c r="G10" s="88"/>
      <c r="H10" s="88"/>
      <c r="I10" s="88"/>
      <c r="J10" s="88"/>
      <c r="K10" s="88"/>
      <c r="L10" s="88"/>
      <c r="M10" s="88"/>
      <c r="N10" s="88"/>
    </row>
    <row r="11" spans="1:16" ht="15" customHeight="1" x14ac:dyDescent="0.55000000000000004">
      <c r="A11" s="86">
        <v>5</v>
      </c>
      <c r="B11" s="89" t="s">
        <v>330</v>
      </c>
      <c r="C11" s="90">
        <f t="shared" ref="C11:N11" si="0">C7+C8+C9</f>
        <v>0</v>
      </c>
      <c r="D11" s="90">
        <f t="shared" si="0"/>
        <v>0</v>
      </c>
      <c r="E11" s="90">
        <f t="shared" si="0"/>
        <v>0</v>
      </c>
      <c r="F11" s="90">
        <f t="shared" si="0"/>
        <v>0</v>
      </c>
      <c r="G11" s="90">
        <f t="shared" si="0"/>
        <v>0</v>
      </c>
      <c r="H11" s="90">
        <f t="shared" si="0"/>
        <v>0</v>
      </c>
      <c r="I11" s="90">
        <f t="shared" si="0"/>
        <v>0</v>
      </c>
      <c r="J11" s="90">
        <f t="shared" si="0"/>
        <v>0</v>
      </c>
      <c r="K11" s="90">
        <f t="shared" si="0"/>
        <v>0</v>
      </c>
      <c r="L11" s="90">
        <f t="shared" si="0"/>
        <v>0</v>
      </c>
      <c r="M11" s="90">
        <f t="shared" si="0"/>
        <v>0</v>
      </c>
      <c r="N11" s="90">
        <f t="shared" si="0"/>
        <v>0</v>
      </c>
    </row>
    <row r="12" spans="1:16" ht="19.5" customHeight="1" x14ac:dyDescent="0.55000000000000004">
      <c r="A12" s="310" t="s">
        <v>331</v>
      </c>
      <c r="B12" s="310"/>
      <c r="C12" s="310"/>
      <c r="D12" s="310"/>
      <c r="E12" s="310"/>
      <c r="F12" s="310"/>
      <c r="G12" s="310"/>
      <c r="H12" s="310"/>
      <c r="I12" s="310"/>
      <c r="J12" s="310"/>
      <c r="K12" s="310"/>
      <c r="L12" s="310"/>
      <c r="M12" s="310"/>
      <c r="N12" s="310"/>
      <c r="O12" s="310"/>
      <c r="P12" s="310"/>
    </row>
    <row r="13" spans="1:16" ht="15" customHeight="1" x14ac:dyDescent="0.55000000000000004">
      <c r="A13" s="86">
        <v>6</v>
      </c>
      <c r="B13" s="87" t="s">
        <v>332</v>
      </c>
      <c r="C13" s="88"/>
      <c r="D13" s="88"/>
      <c r="E13" s="88"/>
      <c r="F13" s="88"/>
      <c r="G13" s="88"/>
      <c r="H13" s="88"/>
      <c r="I13" s="88"/>
      <c r="J13" s="88"/>
      <c r="K13" s="88"/>
      <c r="L13" s="88"/>
      <c r="M13" s="88"/>
      <c r="N13" s="88"/>
    </row>
    <row r="14" spans="1:16" ht="15" customHeight="1" x14ac:dyDescent="0.55000000000000004">
      <c r="A14" s="86">
        <v>7</v>
      </c>
      <c r="B14" s="87" t="s">
        <v>333</v>
      </c>
      <c r="C14" s="88"/>
      <c r="D14" s="88"/>
      <c r="E14" s="88"/>
      <c r="F14" s="88"/>
      <c r="G14" s="88"/>
      <c r="H14" s="88"/>
      <c r="I14" s="88"/>
      <c r="J14" s="88"/>
      <c r="K14" s="88"/>
      <c r="L14" s="88"/>
      <c r="M14" s="88"/>
      <c r="N14" s="88"/>
    </row>
    <row r="15" spans="1:16" ht="15" customHeight="1" x14ac:dyDescent="0.55000000000000004">
      <c r="A15" s="86">
        <v>8</v>
      </c>
      <c r="B15" s="87" t="s">
        <v>334</v>
      </c>
      <c r="C15" s="88"/>
      <c r="D15" s="88"/>
      <c r="E15" s="88"/>
      <c r="F15" s="88"/>
      <c r="G15" s="88"/>
      <c r="H15" s="88"/>
      <c r="I15" s="88"/>
      <c r="J15" s="88"/>
      <c r="K15" s="88"/>
      <c r="L15" s="88"/>
      <c r="M15" s="88"/>
      <c r="N15" s="88"/>
    </row>
    <row r="16" spans="1:16" ht="15" customHeight="1" x14ac:dyDescent="0.55000000000000004">
      <c r="A16" s="86">
        <v>9</v>
      </c>
      <c r="B16" s="87" t="s">
        <v>335</v>
      </c>
      <c r="C16" s="88"/>
      <c r="D16" s="88"/>
      <c r="E16" s="88"/>
      <c r="F16" s="88"/>
      <c r="G16" s="88"/>
      <c r="H16" s="88"/>
      <c r="I16" s="88"/>
      <c r="J16" s="88"/>
      <c r="K16" s="88"/>
      <c r="L16" s="88"/>
      <c r="M16" s="88"/>
      <c r="N16" s="88"/>
    </row>
    <row r="17" spans="1:16" ht="15" customHeight="1" x14ac:dyDescent="0.55000000000000004">
      <c r="A17" s="86">
        <v>10</v>
      </c>
      <c r="B17" s="87" t="s">
        <v>336</v>
      </c>
      <c r="C17" s="88"/>
      <c r="D17" s="88"/>
      <c r="E17" s="88"/>
      <c r="F17" s="88"/>
      <c r="G17" s="88"/>
      <c r="H17" s="88"/>
      <c r="I17" s="88"/>
      <c r="J17" s="88"/>
      <c r="K17" s="88"/>
      <c r="L17" s="88"/>
      <c r="M17" s="88"/>
      <c r="N17" s="88"/>
    </row>
    <row r="18" spans="1:16" ht="15" customHeight="1" x14ac:dyDescent="0.55000000000000004">
      <c r="A18" s="86">
        <v>11</v>
      </c>
      <c r="B18" s="87" t="s">
        <v>337</v>
      </c>
      <c r="C18" s="88"/>
      <c r="D18" s="88"/>
      <c r="E18" s="88"/>
      <c r="F18" s="88"/>
      <c r="G18" s="88"/>
      <c r="H18" s="88"/>
      <c r="I18" s="88"/>
      <c r="J18" s="88"/>
      <c r="K18" s="88"/>
      <c r="L18" s="88"/>
      <c r="M18" s="88"/>
      <c r="N18" s="88"/>
    </row>
    <row r="19" spans="1:16" ht="15" customHeight="1" x14ac:dyDescent="0.55000000000000004">
      <c r="A19" s="86">
        <v>12</v>
      </c>
      <c r="B19" s="87" t="s">
        <v>338</v>
      </c>
      <c r="C19" s="88"/>
      <c r="D19" s="88"/>
      <c r="E19" s="88"/>
      <c r="F19" s="88"/>
      <c r="G19" s="88"/>
      <c r="H19" s="88"/>
      <c r="I19" s="88"/>
      <c r="J19" s="88"/>
      <c r="K19" s="88"/>
      <c r="L19" s="88"/>
      <c r="M19" s="88"/>
      <c r="N19" s="88"/>
    </row>
    <row r="20" spans="1:16" ht="15" customHeight="1" x14ac:dyDescent="0.55000000000000004">
      <c r="A20" s="86">
        <v>13</v>
      </c>
      <c r="B20" s="87" t="s">
        <v>339</v>
      </c>
      <c r="C20" s="88"/>
      <c r="D20" s="88"/>
      <c r="E20" s="88"/>
      <c r="F20" s="88"/>
      <c r="G20" s="88"/>
      <c r="H20" s="88"/>
      <c r="I20" s="88"/>
      <c r="J20" s="88"/>
      <c r="K20" s="88"/>
      <c r="L20" s="88"/>
      <c r="M20" s="88"/>
      <c r="N20" s="88"/>
    </row>
    <row r="21" spans="1:16" ht="15" customHeight="1" x14ac:dyDescent="0.55000000000000004">
      <c r="A21" s="86">
        <v>14</v>
      </c>
      <c r="B21" s="87" t="s">
        <v>340</v>
      </c>
      <c r="C21" s="88"/>
      <c r="D21" s="88"/>
      <c r="E21" s="88"/>
      <c r="F21" s="88"/>
      <c r="G21" s="88"/>
      <c r="H21" s="88"/>
      <c r="I21" s="88"/>
      <c r="J21" s="88"/>
      <c r="K21" s="88"/>
      <c r="L21" s="88"/>
      <c r="M21" s="88"/>
      <c r="N21" s="88"/>
    </row>
    <row r="22" spans="1:16" ht="15" customHeight="1" x14ac:dyDescent="0.55000000000000004">
      <c r="A22" s="86">
        <v>15</v>
      </c>
      <c r="B22" s="87" t="s">
        <v>341</v>
      </c>
      <c r="C22" s="88"/>
      <c r="D22" s="88"/>
      <c r="E22" s="88"/>
      <c r="F22" s="88"/>
      <c r="G22" s="88"/>
      <c r="H22" s="88"/>
      <c r="I22" s="88"/>
      <c r="J22" s="88"/>
      <c r="K22" s="88"/>
      <c r="L22" s="88"/>
      <c r="M22" s="88"/>
      <c r="N22" s="88"/>
    </row>
    <row r="23" spans="1:16" ht="15" customHeight="1" x14ac:dyDescent="0.55000000000000004">
      <c r="A23" s="86">
        <v>16</v>
      </c>
      <c r="B23" s="87" t="s">
        <v>342</v>
      </c>
      <c r="C23" s="88"/>
      <c r="D23" s="88"/>
      <c r="E23" s="88"/>
      <c r="F23" s="88"/>
      <c r="G23" s="88"/>
      <c r="H23" s="88"/>
      <c r="I23" s="88"/>
      <c r="J23" s="88"/>
      <c r="K23" s="88"/>
      <c r="L23" s="88"/>
      <c r="M23" s="88"/>
      <c r="N23" s="88"/>
    </row>
    <row r="24" spans="1:16" ht="15" customHeight="1" x14ac:dyDescent="0.55000000000000004">
      <c r="A24" s="86">
        <v>17</v>
      </c>
      <c r="B24" s="87" t="s">
        <v>343</v>
      </c>
      <c r="C24" s="88"/>
      <c r="D24" s="88"/>
      <c r="E24" s="88"/>
      <c r="F24" s="88"/>
      <c r="G24" s="88"/>
      <c r="H24" s="88"/>
      <c r="I24" s="88"/>
      <c r="J24" s="88"/>
      <c r="K24" s="88"/>
      <c r="L24" s="88"/>
      <c r="M24" s="88"/>
      <c r="N24" s="88"/>
    </row>
    <row r="25" spans="1:16" ht="15" customHeight="1" x14ac:dyDescent="0.55000000000000004">
      <c r="A25" s="86">
        <v>18</v>
      </c>
      <c r="B25" s="87" t="s">
        <v>344</v>
      </c>
      <c r="C25" s="88"/>
      <c r="D25" s="88"/>
      <c r="E25" s="88"/>
      <c r="F25" s="88"/>
      <c r="G25" s="88"/>
      <c r="H25" s="88"/>
      <c r="I25" s="88"/>
      <c r="J25" s="88"/>
      <c r="K25" s="88"/>
      <c r="L25" s="88"/>
      <c r="M25" s="88"/>
      <c r="N25" s="88"/>
    </row>
    <row r="26" spans="1:16" ht="15" customHeight="1" x14ac:dyDescent="0.55000000000000004">
      <c r="A26" s="86">
        <v>19</v>
      </c>
      <c r="B26" s="89" t="s">
        <v>345</v>
      </c>
      <c r="C26" s="90">
        <f t="shared" ref="C26:N26" si="1">SUM(C13:C25)</f>
        <v>0</v>
      </c>
      <c r="D26" s="90">
        <f t="shared" si="1"/>
        <v>0</v>
      </c>
      <c r="E26" s="90">
        <f t="shared" si="1"/>
        <v>0</v>
      </c>
      <c r="F26" s="90">
        <f t="shared" si="1"/>
        <v>0</v>
      </c>
      <c r="G26" s="90">
        <f t="shared" si="1"/>
        <v>0</v>
      </c>
      <c r="H26" s="90">
        <f t="shared" si="1"/>
        <v>0</v>
      </c>
      <c r="I26" s="90">
        <f t="shared" si="1"/>
        <v>0</v>
      </c>
      <c r="J26" s="90">
        <f t="shared" si="1"/>
        <v>0</v>
      </c>
      <c r="K26" s="90">
        <f t="shared" si="1"/>
        <v>0</v>
      </c>
      <c r="L26" s="90">
        <f t="shared" si="1"/>
        <v>0</v>
      </c>
      <c r="M26" s="90">
        <f t="shared" si="1"/>
        <v>0</v>
      </c>
      <c r="N26" s="90">
        <f t="shared" si="1"/>
        <v>0</v>
      </c>
    </row>
    <row r="27" spans="1:16" ht="15" customHeight="1" x14ac:dyDescent="0.55000000000000004">
      <c r="A27" s="86">
        <v>20</v>
      </c>
      <c r="B27" s="89" t="s">
        <v>346</v>
      </c>
      <c r="C27" s="90">
        <f t="shared" ref="C27:N27" si="2">C11+C26</f>
        <v>0</v>
      </c>
      <c r="D27" s="90">
        <f t="shared" si="2"/>
        <v>0</v>
      </c>
      <c r="E27" s="90">
        <f t="shared" si="2"/>
        <v>0</v>
      </c>
      <c r="F27" s="90">
        <f t="shared" si="2"/>
        <v>0</v>
      </c>
      <c r="G27" s="90">
        <f t="shared" si="2"/>
        <v>0</v>
      </c>
      <c r="H27" s="90">
        <f t="shared" si="2"/>
        <v>0</v>
      </c>
      <c r="I27" s="90">
        <f t="shared" si="2"/>
        <v>0</v>
      </c>
      <c r="J27" s="90">
        <f t="shared" si="2"/>
        <v>0</v>
      </c>
      <c r="K27" s="90">
        <f t="shared" si="2"/>
        <v>0</v>
      </c>
      <c r="L27" s="90">
        <f t="shared" si="2"/>
        <v>0</v>
      </c>
      <c r="M27" s="90">
        <f t="shared" si="2"/>
        <v>0</v>
      </c>
      <c r="N27" s="90">
        <f t="shared" si="2"/>
        <v>0</v>
      </c>
      <c r="O27" s="91" t="str">
        <f>IFERROR((INDEX(C27:N27,1,LatestAudCol)-INDEX(C27:N27,1,PriorAudCol))/ABS(INDEX(C27:N27,1,PriorAudCol)),"")</f>
        <v/>
      </c>
    </row>
    <row r="28" spans="1:16" ht="19.5" customHeight="1" x14ac:dyDescent="0.55000000000000004">
      <c r="A28" s="310" t="s">
        <v>347</v>
      </c>
      <c r="B28" s="310"/>
      <c r="C28" s="310"/>
      <c r="D28" s="310"/>
      <c r="E28" s="310"/>
      <c r="F28" s="310"/>
      <c r="G28" s="310"/>
      <c r="H28" s="310"/>
      <c r="I28" s="310"/>
      <c r="J28" s="310"/>
      <c r="K28" s="310"/>
      <c r="L28" s="310"/>
      <c r="M28" s="310"/>
      <c r="N28" s="310"/>
      <c r="O28" s="310"/>
      <c r="P28" s="310"/>
    </row>
    <row r="29" spans="1:16" ht="15" customHeight="1" x14ac:dyDescent="0.55000000000000004">
      <c r="A29" s="86">
        <v>21</v>
      </c>
      <c r="B29" s="87" t="s">
        <v>348</v>
      </c>
      <c r="C29" s="88"/>
      <c r="D29" s="88"/>
      <c r="E29" s="88"/>
      <c r="F29" s="88"/>
      <c r="G29" s="88"/>
      <c r="H29" s="88"/>
      <c r="I29" s="88"/>
      <c r="J29" s="88"/>
      <c r="K29" s="88"/>
      <c r="L29" s="88"/>
      <c r="M29" s="88"/>
      <c r="N29" s="88"/>
    </row>
    <row r="30" spans="1:16" ht="15" customHeight="1" x14ac:dyDescent="0.55000000000000004">
      <c r="A30" s="86">
        <v>22</v>
      </c>
      <c r="B30" s="87" t="s">
        <v>349</v>
      </c>
      <c r="C30" s="88"/>
      <c r="D30" s="88"/>
      <c r="E30" s="88"/>
      <c r="F30" s="88"/>
      <c r="G30" s="88"/>
      <c r="H30" s="88"/>
      <c r="I30" s="88"/>
      <c r="J30" s="88"/>
      <c r="K30" s="88"/>
      <c r="L30" s="88"/>
      <c r="M30" s="88"/>
      <c r="N30" s="88"/>
    </row>
    <row r="31" spans="1:16" ht="15" customHeight="1" x14ac:dyDescent="0.55000000000000004">
      <c r="A31" s="86">
        <v>23</v>
      </c>
      <c r="B31" s="87" t="s">
        <v>350</v>
      </c>
      <c r="C31" s="88"/>
      <c r="D31" s="88"/>
      <c r="E31" s="88"/>
      <c r="F31" s="88"/>
      <c r="G31" s="88"/>
      <c r="H31" s="88"/>
      <c r="I31" s="88"/>
      <c r="J31" s="88"/>
      <c r="K31" s="88"/>
      <c r="L31" s="88"/>
      <c r="M31" s="88"/>
      <c r="N31" s="88"/>
    </row>
    <row r="32" spans="1:16" ht="15" customHeight="1" x14ac:dyDescent="0.55000000000000004">
      <c r="A32" s="86">
        <v>24</v>
      </c>
      <c r="B32" s="87" t="s">
        <v>351</v>
      </c>
      <c r="C32" s="88"/>
      <c r="D32" s="88"/>
      <c r="E32" s="88"/>
      <c r="F32" s="88"/>
      <c r="G32" s="88"/>
      <c r="H32" s="88"/>
      <c r="I32" s="88"/>
      <c r="J32" s="88"/>
      <c r="K32" s="88"/>
      <c r="L32" s="88"/>
      <c r="M32" s="88"/>
      <c r="N32" s="88"/>
    </row>
    <row r="33" spans="1:16" ht="15" customHeight="1" x14ac:dyDescent="0.55000000000000004">
      <c r="A33" s="86">
        <v>25</v>
      </c>
      <c r="B33" s="87" t="s">
        <v>352</v>
      </c>
      <c r="C33" s="88"/>
      <c r="D33" s="88"/>
      <c r="E33" s="88"/>
      <c r="F33" s="88"/>
      <c r="G33" s="88"/>
      <c r="H33" s="88"/>
      <c r="I33" s="88"/>
      <c r="J33" s="88"/>
      <c r="K33" s="88"/>
      <c r="L33" s="88"/>
      <c r="M33" s="88"/>
      <c r="N33" s="88"/>
    </row>
    <row r="34" spans="1:16" ht="15" customHeight="1" x14ac:dyDescent="0.55000000000000004">
      <c r="A34" s="86">
        <v>26</v>
      </c>
      <c r="B34" s="87" t="s">
        <v>353</v>
      </c>
      <c r="C34" s="88"/>
      <c r="D34" s="88"/>
      <c r="E34" s="88"/>
      <c r="F34" s="88"/>
      <c r="G34" s="88"/>
      <c r="H34" s="88"/>
      <c r="I34" s="88"/>
      <c r="J34" s="88"/>
      <c r="K34" s="88"/>
      <c r="L34" s="88"/>
      <c r="M34" s="88"/>
      <c r="N34" s="88"/>
    </row>
    <row r="35" spans="1:16" ht="15" customHeight="1" x14ac:dyDescent="0.55000000000000004">
      <c r="A35" s="86">
        <v>27</v>
      </c>
      <c r="B35" s="87" t="s">
        <v>354</v>
      </c>
      <c r="C35" s="88"/>
      <c r="D35" s="88"/>
      <c r="E35" s="88"/>
      <c r="F35" s="88"/>
      <c r="G35" s="88"/>
      <c r="H35" s="88"/>
      <c r="I35" s="88"/>
      <c r="J35" s="88"/>
      <c r="K35" s="88"/>
      <c r="L35" s="88"/>
      <c r="M35" s="88"/>
      <c r="N35" s="88"/>
    </row>
    <row r="36" spans="1:16" ht="15" customHeight="1" x14ac:dyDescent="0.55000000000000004">
      <c r="A36" s="86">
        <v>28</v>
      </c>
      <c r="B36" s="87" t="s">
        <v>355</v>
      </c>
      <c r="C36" s="88"/>
      <c r="D36" s="88"/>
      <c r="E36" s="88"/>
      <c r="F36" s="88"/>
      <c r="G36" s="88"/>
      <c r="H36" s="88"/>
      <c r="I36" s="88"/>
      <c r="J36" s="88"/>
      <c r="K36" s="88"/>
      <c r="L36" s="88"/>
      <c r="M36" s="88"/>
      <c r="N36" s="88"/>
    </row>
    <row r="37" spans="1:16" ht="15" customHeight="1" x14ac:dyDescent="0.55000000000000004">
      <c r="A37" s="86">
        <v>29</v>
      </c>
      <c r="B37" s="87" t="s">
        <v>356</v>
      </c>
      <c r="C37" s="88"/>
      <c r="D37" s="88"/>
      <c r="E37" s="88"/>
      <c r="F37" s="88"/>
      <c r="G37" s="88"/>
      <c r="H37" s="88"/>
      <c r="I37" s="88"/>
      <c r="J37" s="88"/>
      <c r="K37" s="88"/>
      <c r="L37" s="88"/>
      <c r="M37" s="88"/>
      <c r="N37" s="88"/>
    </row>
    <row r="38" spans="1:16" ht="15" customHeight="1" x14ac:dyDescent="0.55000000000000004">
      <c r="A38" s="86">
        <v>30</v>
      </c>
      <c r="B38" s="87" t="s">
        <v>357</v>
      </c>
      <c r="C38" s="88"/>
      <c r="D38" s="88"/>
      <c r="E38" s="88"/>
      <c r="F38" s="88"/>
      <c r="G38" s="88"/>
      <c r="H38" s="88"/>
      <c r="I38" s="88"/>
      <c r="J38" s="88"/>
      <c r="K38" s="88"/>
      <c r="L38" s="88"/>
      <c r="M38" s="88"/>
      <c r="N38" s="88"/>
    </row>
    <row r="39" spans="1:16" ht="15" customHeight="1" x14ac:dyDescent="0.55000000000000004">
      <c r="A39" s="86">
        <v>31</v>
      </c>
      <c r="B39" s="89" t="s">
        <v>358</v>
      </c>
      <c r="C39" s="90">
        <f t="shared" ref="C39:N39" si="3">SUM(C29:C38)</f>
        <v>0</v>
      </c>
      <c r="D39" s="90">
        <f t="shared" si="3"/>
        <v>0</v>
      </c>
      <c r="E39" s="90">
        <f t="shared" si="3"/>
        <v>0</v>
      </c>
      <c r="F39" s="90">
        <f t="shared" si="3"/>
        <v>0</v>
      </c>
      <c r="G39" s="90">
        <f t="shared" si="3"/>
        <v>0</v>
      </c>
      <c r="H39" s="90">
        <f t="shared" si="3"/>
        <v>0</v>
      </c>
      <c r="I39" s="90">
        <f t="shared" si="3"/>
        <v>0</v>
      </c>
      <c r="J39" s="90">
        <f t="shared" si="3"/>
        <v>0</v>
      </c>
      <c r="K39" s="90">
        <f t="shared" si="3"/>
        <v>0</v>
      </c>
      <c r="L39" s="90">
        <f t="shared" si="3"/>
        <v>0</v>
      </c>
      <c r="M39" s="90">
        <f t="shared" si="3"/>
        <v>0</v>
      </c>
      <c r="N39" s="90">
        <f t="shared" si="3"/>
        <v>0</v>
      </c>
      <c r="O39" s="91" t="str">
        <f>IFERROR((INDEX(C39:N39,1,LatestAudCol)-INDEX(C39:N39,1,PriorAudCol))/ABS(INDEX(C39:N39,1,PriorAudCol)),"")</f>
        <v/>
      </c>
    </row>
    <row r="40" spans="1:16" ht="15" customHeight="1" x14ac:dyDescent="0.55000000000000004">
      <c r="A40" s="86">
        <v>32</v>
      </c>
      <c r="B40" s="89" t="s">
        <v>359</v>
      </c>
      <c r="C40" s="90">
        <f t="shared" ref="C40:N40" si="4">C27+C39</f>
        <v>0</v>
      </c>
      <c r="D40" s="90">
        <f t="shared" si="4"/>
        <v>0</v>
      </c>
      <c r="E40" s="90">
        <f t="shared" si="4"/>
        <v>0</v>
      </c>
      <c r="F40" s="90">
        <f t="shared" si="4"/>
        <v>0</v>
      </c>
      <c r="G40" s="90">
        <f t="shared" si="4"/>
        <v>0</v>
      </c>
      <c r="H40" s="90">
        <f t="shared" si="4"/>
        <v>0</v>
      </c>
      <c r="I40" s="90">
        <f t="shared" si="4"/>
        <v>0</v>
      </c>
      <c r="J40" s="90">
        <f t="shared" si="4"/>
        <v>0</v>
      </c>
      <c r="K40" s="90">
        <f t="shared" si="4"/>
        <v>0</v>
      </c>
      <c r="L40" s="90">
        <f t="shared" si="4"/>
        <v>0</v>
      </c>
      <c r="M40" s="90">
        <f t="shared" si="4"/>
        <v>0</v>
      </c>
      <c r="N40" s="90">
        <f t="shared" si="4"/>
        <v>0</v>
      </c>
      <c r="O40" s="91" t="str">
        <f>IFERROR((INDEX(C40:N40,1,LatestAudCol)-INDEX(C40:N40,1,PriorAudCol))/ABS(INDEX(C40:N40,1,PriorAudCol)),"")</f>
        <v/>
      </c>
    </row>
    <row r="41" spans="1:16" ht="15" customHeight="1" x14ac:dyDescent="0.55000000000000004">
      <c r="A41" s="86">
        <v>33</v>
      </c>
      <c r="B41" s="87" t="s">
        <v>360</v>
      </c>
      <c r="C41" s="88"/>
      <c r="D41" s="88"/>
      <c r="E41" s="88"/>
      <c r="F41" s="88"/>
      <c r="G41" s="88"/>
      <c r="H41" s="88"/>
      <c r="I41" s="88"/>
      <c r="J41" s="88"/>
      <c r="K41" s="88"/>
      <c r="L41" s="88"/>
      <c r="M41" s="88"/>
      <c r="N41" s="88"/>
    </row>
    <row r="42" spans="1:16" ht="19.5" customHeight="1" x14ac:dyDescent="0.55000000000000004">
      <c r="A42" s="310" t="s">
        <v>361</v>
      </c>
      <c r="B42" s="310"/>
      <c r="C42" s="310"/>
      <c r="D42" s="310"/>
      <c r="E42" s="310"/>
      <c r="F42" s="310"/>
      <c r="G42" s="310"/>
      <c r="H42" s="310"/>
      <c r="I42" s="310"/>
      <c r="J42" s="310"/>
      <c r="K42" s="310"/>
      <c r="L42" s="310"/>
      <c r="M42" s="310"/>
      <c r="N42" s="310"/>
      <c r="O42" s="310"/>
      <c r="P42" s="310"/>
    </row>
    <row r="43" spans="1:16" ht="15" customHeight="1" x14ac:dyDescent="0.55000000000000004">
      <c r="A43" s="86">
        <v>34</v>
      </c>
      <c r="B43" s="87" t="s">
        <v>362</v>
      </c>
      <c r="C43" s="88"/>
      <c r="D43" s="88"/>
      <c r="E43" s="88"/>
      <c r="F43" s="88"/>
      <c r="G43" s="88"/>
      <c r="H43" s="88"/>
      <c r="I43" s="88"/>
      <c r="J43" s="88"/>
      <c r="K43" s="88"/>
      <c r="L43" s="88"/>
      <c r="M43" s="88"/>
      <c r="N43" s="88"/>
    </row>
    <row r="44" spans="1:16" ht="15" customHeight="1" x14ac:dyDescent="0.55000000000000004">
      <c r="A44" s="86">
        <v>35</v>
      </c>
      <c r="B44" s="87" t="s">
        <v>363</v>
      </c>
      <c r="C44" s="88"/>
      <c r="D44" s="88"/>
      <c r="E44" s="88"/>
      <c r="F44" s="88"/>
      <c r="G44" s="88"/>
      <c r="H44" s="88"/>
      <c r="I44" s="88"/>
      <c r="J44" s="88"/>
      <c r="K44" s="88"/>
      <c r="L44" s="88"/>
      <c r="M44" s="88"/>
      <c r="N44" s="88"/>
    </row>
    <row r="45" spans="1:16" ht="15" customHeight="1" x14ac:dyDescent="0.55000000000000004">
      <c r="A45" s="86">
        <v>36</v>
      </c>
      <c r="B45" s="87" t="s">
        <v>364</v>
      </c>
      <c r="C45" s="88"/>
      <c r="D45" s="88"/>
      <c r="E45" s="88"/>
      <c r="F45" s="88"/>
      <c r="G45" s="88"/>
      <c r="H45" s="88"/>
      <c r="I45" s="88"/>
      <c r="J45" s="88"/>
      <c r="K45" s="88"/>
      <c r="L45" s="88"/>
      <c r="M45" s="88"/>
      <c r="N45" s="88"/>
    </row>
    <row r="46" spans="1:16" ht="15" customHeight="1" x14ac:dyDescent="0.55000000000000004">
      <c r="A46" s="86">
        <v>37</v>
      </c>
      <c r="B46" s="87" t="s">
        <v>365</v>
      </c>
      <c r="C46" s="88"/>
      <c r="D46" s="88"/>
      <c r="E46" s="88"/>
      <c r="F46" s="88"/>
      <c r="G46" s="88"/>
      <c r="H46" s="88"/>
      <c r="I46" s="88"/>
      <c r="J46" s="88"/>
      <c r="K46" s="88"/>
      <c r="L46" s="88"/>
      <c r="M46" s="88"/>
      <c r="N46" s="88"/>
    </row>
    <row r="47" spans="1:16" ht="15" customHeight="1" x14ac:dyDescent="0.55000000000000004">
      <c r="A47" s="86">
        <v>38</v>
      </c>
      <c r="B47" s="87" t="s">
        <v>366</v>
      </c>
      <c r="C47" s="88"/>
      <c r="D47" s="88"/>
      <c r="E47" s="88"/>
      <c r="F47" s="88"/>
      <c r="G47" s="88"/>
      <c r="H47" s="88"/>
      <c r="I47" s="88"/>
      <c r="J47" s="88"/>
      <c r="K47" s="88"/>
      <c r="L47" s="88"/>
      <c r="M47" s="88"/>
      <c r="N47" s="88"/>
    </row>
    <row r="48" spans="1:16" ht="15" customHeight="1" x14ac:dyDescent="0.55000000000000004">
      <c r="A48" s="86">
        <v>39</v>
      </c>
      <c r="B48" s="87" t="s">
        <v>367</v>
      </c>
      <c r="C48" s="88"/>
      <c r="D48" s="88"/>
      <c r="E48" s="88"/>
      <c r="F48" s="88"/>
      <c r="G48" s="88"/>
      <c r="H48" s="88"/>
      <c r="I48" s="88"/>
      <c r="J48" s="88"/>
      <c r="K48" s="88"/>
      <c r="L48" s="88"/>
      <c r="M48" s="88"/>
      <c r="N48" s="88"/>
    </row>
    <row r="49" spans="1:16" ht="15" customHeight="1" x14ac:dyDescent="0.55000000000000004">
      <c r="A49" s="86">
        <v>40</v>
      </c>
      <c r="B49" s="87" t="s">
        <v>368</v>
      </c>
      <c r="C49" s="88"/>
      <c r="D49" s="88"/>
      <c r="E49" s="88"/>
      <c r="F49" s="88"/>
      <c r="G49" s="88"/>
      <c r="H49" s="88"/>
      <c r="I49" s="88"/>
      <c r="J49" s="88"/>
      <c r="K49" s="88"/>
      <c r="L49" s="88"/>
      <c r="M49" s="88"/>
      <c r="N49" s="88"/>
    </row>
    <row r="50" spans="1:16" ht="15" customHeight="1" x14ac:dyDescent="0.55000000000000004">
      <c r="A50" s="86">
        <v>41</v>
      </c>
      <c r="B50" s="87" t="s">
        <v>369</v>
      </c>
      <c r="C50" s="88"/>
      <c r="D50" s="88"/>
      <c r="E50" s="88"/>
      <c r="F50" s="88"/>
      <c r="G50" s="88"/>
      <c r="H50" s="88"/>
      <c r="I50" s="88"/>
      <c r="J50" s="88"/>
      <c r="K50" s="88"/>
      <c r="L50" s="88"/>
      <c r="M50" s="88"/>
      <c r="N50" s="88"/>
    </row>
    <row r="51" spans="1:16" ht="15" customHeight="1" x14ac:dyDescent="0.55000000000000004">
      <c r="A51" s="86">
        <v>42</v>
      </c>
      <c r="B51" s="87" t="s">
        <v>370</v>
      </c>
      <c r="C51" s="88"/>
      <c r="D51" s="88"/>
      <c r="E51" s="88"/>
      <c r="F51" s="88"/>
      <c r="G51" s="88"/>
      <c r="H51" s="88"/>
      <c r="I51" s="88"/>
      <c r="J51" s="88"/>
      <c r="K51" s="88"/>
      <c r="L51" s="88"/>
      <c r="M51" s="88"/>
      <c r="N51" s="88"/>
    </row>
    <row r="52" spans="1:16" ht="15" customHeight="1" x14ac:dyDescent="0.55000000000000004">
      <c r="A52" s="86">
        <v>43</v>
      </c>
      <c r="B52" s="89" t="s">
        <v>371</v>
      </c>
      <c r="C52" s="90">
        <f t="shared" ref="C52:N52" si="5">SUM(C43:C51)</f>
        <v>0</v>
      </c>
      <c r="D52" s="90">
        <f t="shared" si="5"/>
        <v>0</v>
      </c>
      <c r="E52" s="90">
        <f t="shared" si="5"/>
        <v>0</v>
      </c>
      <c r="F52" s="90">
        <f t="shared" si="5"/>
        <v>0</v>
      </c>
      <c r="G52" s="90">
        <f t="shared" si="5"/>
        <v>0</v>
      </c>
      <c r="H52" s="90">
        <f t="shared" si="5"/>
        <v>0</v>
      </c>
      <c r="I52" s="90">
        <f t="shared" si="5"/>
        <v>0</v>
      </c>
      <c r="J52" s="90">
        <f t="shared" si="5"/>
        <v>0</v>
      </c>
      <c r="K52" s="90">
        <f t="shared" si="5"/>
        <v>0</v>
      </c>
      <c r="L52" s="90">
        <f t="shared" si="5"/>
        <v>0</v>
      </c>
      <c r="M52" s="90">
        <f t="shared" si="5"/>
        <v>0</v>
      </c>
      <c r="N52" s="90">
        <f t="shared" si="5"/>
        <v>0</v>
      </c>
      <c r="O52" s="91" t="str">
        <f>IFERROR((INDEX(C52:N52,1,LatestAudCol)-INDEX(C52:N52,1,PriorAudCol))/ABS(INDEX(C52:N52,1,PriorAudCol)),"")</f>
        <v/>
      </c>
    </row>
    <row r="53" spans="1:16" ht="15" customHeight="1" x14ac:dyDescent="0.55000000000000004">
      <c r="A53" s="86">
        <v>44</v>
      </c>
      <c r="B53" s="89" t="s">
        <v>372</v>
      </c>
      <c r="C53" s="90">
        <f t="shared" ref="C53:N53" si="6">C40+C52</f>
        <v>0</v>
      </c>
      <c r="D53" s="90">
        <f t="shared" si="6"/>
        <v>0</v>
      </c>
      <c r="E53" s="90">
        <f t="shared" si="6"/>
        <v>0</v>
      </c>
      <c r="F53" s="90">
        <f t="shared" si="6"/>
        <v>0</v>
      </c>
      <c r="G53" s="90">
        <f t="shared" si="6"/>
        <v>0</v>
      </c>
      <c r="H53" s="90">
        <f t="shared" si="6"/>
        <v>0</v>
      </c>
      <c r="I53" s="90">
        <f t="shared" si="6"/>
        <v>0</v>
      </c>
      <c r="J53" s="90">
        <f t="shared" si="6"/>
        <v>0</v>
      </c>
      <c r="K53" s="90">
        <f t="shared" si="6"/>
        <v>0</v>
      </c>
      <c r="L53" s="90">
        <f t="shared" si="6"/>
        <v>0</v>
      </c>
      <c r="M53" s="90">
        <f t="shared" si="6"/>
        <v>0</v>
      </c>
      <c r="N53" s="90">
        <f t="shared" si="6"/>
        <v>0</v>
      </c>
      <c r="O53" s="91" t="str">
        <f>IFERROR((INDEX(C53:N53,1,LatestAudCol)-INDEX(C53:N53,1,PriorAudCol))/ABS(INDEX(C53:N53,1,PriorAudCol)),"")</f>
        <v/>
      </c>
    </row>
    <row r="54" spans="1:16" ht="19.5" customHeight="1" x14ac:dyDescent="0.55000000000000004">
      <c r="A54" s="310" t="s">
        <v>373</v>
      </c>
      <c r="B54" s="310"/>
      <c r="C54" s="310"/>
      <c r="D54" s="310"/>
      <c r="E54" s="310"/>
      <c r="F54" s="310"/>
      <c r="G54" s="310"/>
      <c r="H54" s="310"/>
      <c r="I54" s="310"/>
      <c r="J54" s="310"/>
      <c r="K54" s="310"/>
      <c r="L54" s="310"/>
      <c r="M54" s="310"/>
      <c r="N54" s="310"/>
      <c r="O54" s="310"/>
      <c r="P54" s="310"/>
    </row>
    <row r="55" spans="1:16" ht="15" customHeight="1" x14ac:dyDescent="0.55000000000000004">
      <c r="A55" s="86">
        <v>45</v>
      </c>
      <c r="B55" s="87" t="s">
        <v>374</v>
      </c>
      <c r="C55" s="88"/>
      <c r="D55" s="88"/>
      <c r="E55" s="88"/>
      <c r="F55" s="88"/>
      <c r="G55" s="88"/>
      <c r="H55" s="88"/>
      <c r="I55" s="88"/>
      <c r="J55" s="88"/>
      <c r="K55" s="88"/>
      <c r="L55" s="88"/>
      <c r="M55" s="88"/>
      <c r="N55" s="88"/>
    </row>
    <row r="56" spans="1:16" ht="15" customHeight="1" x14ac:dyDescent="0.55000000000000004">
      <c r="A56" s="86">
        <v>46</v>
      </c>
      <c r="B56" s="87" t="s">
        <v>375</v>
      </c>
      <c r="C56" s="88"/>
      <c r="D56" s="88"/>
      <c r="E56" s="88"/>
      <c r="F56" s="88"/>
      <c r="G56" s="88"/>
      <c r="H56" s="88"/>
      <c r="I56" s="88"/>
      <c r="J56" s="88"/>
      <c r="K56" s="88"/>
      <c r="L56" s="88"/>
      <c r="M56" s="88"/>
      <c r="N56" s="88"/>
    </row>
    <row r="57" spans="1:16" ht="15" customHeight="1" x14ac:dyDescent="0.55000000000000004">
      <c r="A57" s="86">
        <v>47</v>
      </c>
      <c r="B57" s="87" t="s">
        <v>376</v>
      </c>
      <c r="C57" s="88"/>
      <c r="D57" s="88"/>
      <c r="E57" s="88"/>
      <c r="F57" s="88"/>
      <c r="G57" s="88"/>
      <c r="H57" s="88"/>
      <c r="I57" s="88"/>
      <c r="J57" s="88"/>
      <c r="K57" s="88"/>
      <c r="L57" s="88"/>
      <c r="M57" s="88"/>
      <c r="N57" s="88"/>
    </row>
    <row r="58" spans="1:16" ht="15" customHeight="1" x14ac:dyDescent="0.55000000000000004">
      <c r="A58" s="86">
        <v>48</v>
      </c>
      <c r="B58" s="89" t="s">
        <v>377</v>
      </c>
      <c r="C58" s="90">
        <f t="shared" ref="C58:N58" si="7">C55+C56+C57</f>
        <v>0</v>
      </c>
      <c r="D58" s="90">
        <f t="shared" si="7"/>
        <v>0</v>
      </c>
      <c r="E58" s="90">
        <f t="shared" si="7"/>
        <v>0</v>
      </c>
      <c r="F58" s="90">
        <f t="shared" si="7"/>
        <v>0</v>
      </c>
      <c r="G58" s="90">
        <f t="shared" si="7"/>
        <v>0</v>
      </c>
      <c r="H58" s="90">
        <f t="shared" si="7"/>
        <v>0</v>
      </c>
      <c r="I58" s="90">
        <f t="shared" si="7"/>
        <v>0</v>
      </c>
      <c r="J58" s="90">
        <f t="shared" si="7"/>
        <v>0</v>
      </c>
      <c r="K58" s="90">
        <f t="shared" si="7"/>
        <v>0</v>
      </c>
      <c r="L58" s="90">
        <f t="shared" si="7"/>
        <v>0</v>
      </c>
      <c r="M58" s="90">
        <f t="shared" si="7"/>
        <v>0</v>
      </c>
      <c r="N58" s="90">
        <f t="shared" si="7"/>
        <v>0</v>
      </c>
    </row>
    <row r="59" spans="1:16" ht="15" customHeight="1" x14ac:dyDescent="0.55000000000000004">
      <c r="A59" s="86">
        <v>49</v>
      </c>
      <c r="B59" s="87" t="s">
        <v>378</v>
      </c>
      <c r="C59" s="88"/>
      <c r="D59" s="88"/>
      <c r="E59" s="88"/>
      <c r="F59" s="88"/>
      <c r="G59" s="88"/>
      <c r="H59" s="88"/>
      <c r="I59" s="88"/>
      <c r="J59" s="88"/>
      <c r="K59" s="88"/>
      <c r="L59" s="88"/>
      <c r="M59" s="88"/>
      <c r="N59" s="88"/>
    </row>
    <row r="60" spans="1:16" ht="15" customHeight="1" x14ac:dyDescent="0.55000000000000004">
      <c r="A60" s="86">
        <v>50</v>
      </c>
      <c r="B60" s="87" t="s">
        <v>379</v>
      </c>
      <c r="C60" s="88"/>
      <c r="D60" s="88"/>
      <c r="E60" s="88"/>
      <c r="F60" s="88"/>
      <c r="G60" s="88"/>
      <c r="H60" s="88"/>
      <c r="I60" s="88"/>
      <c r="J60" s="88"/>
      <c r="K60" s="88"/>
      <c r="L60" s="88"/>
      <c r="M60" s="88"/>
      <c r="N60" s="88"/>
    </row>
    <row r="61" spans="1:16" ht="15" customHeight="1" x14ac:dyDescent="0.55000000000000004">
      <c r="A61" s="86">
        <v>51</v>
      </c>
      <c r="B61" s="87" t="s">
        <v>380</v>
      </c>
      <c r="C61" s="88"/>
      <c r="D61" s="88"/>
      <c r="E61" s="88"/>
      <c r="F61" s="88"/>
      <c r="G61" s="88"/>
      <c r="H61" s="88"/>
      <c r="I61" s="88"/>
      <c r="J61" s="88"/>
      <c r="K61" s="88"/>
      <c r="L61" s="88"/>
      <c r="M61" s="88"/>
      <c r="N61" s="88"/>
    </row>
    <row r="62" spans="1:16" ht="15" customHeight="1" x14ac:dyDescent="0.55000000000000004">
      <c r="A62" s="86">
        <v>52</v>
      </c>
      <c r="B62" s="87" t="s">
        <v>381</v>
      </c>
      <c r="C62" s="88"/>
      <c r="D62" s="88"/>
      <c r="E62" s="88"/>
      <c r="F62" s="88"/>
      <c r="G62" s="88"/>
      <c r="H62" s="88"/>
      <c r="I62" s="88"/>
      <c r="J62" s="88"/>
      <c r="K62" s="88"/>
      <c r="L62" s="88"/>
      <c r="M62" s="88"/>
      <c r="N62" s="88"/>
    </row>
    <row r="63" spans="1:16" ht="15" customHeight="1" x14ac:dyDescent="0.55000000000000004">
      <c r="A63" s="86">
        <v>53</v>
      </c>
      <c r="B63" s="89" t="s">
        <v>382</v>
      </c>
      <c r="C63" s="90">
        <f t="shared" ref="C63:N63" si="8">SUM(C59:C62)</f>
        <v>0</v>
      </c>
      <c r="D63" s="90">
        <f t="shared" si="8"/>
        <v>0</v>
      </c>
      <c r="E63" s="90">
        <f t="shared" si="8"/>
        <v>0</v>
      </c>
      <c r="F63" s="90">
        <f t="shared" si="8"/>
        <v>0</v>
      </c>
      <c r="G63" s="90">
        <f t="shared" si="8"/>
        <v>0</v>
      </c>
      <c r="H63" s="90">
        <f t="shared" si="8"/>
        <v>0</v>
      </c>
      <c r="I63" s="90">
        <f t="shared" si="8"/>
        <v>0</v>
      </c>
      <c r="J63" s="90">
        <f t="shared" si="8"/>
        <v>0</v>
      </c>
      <c r="K63" s="90">
        <f t="shared" si="8"/>
        <v>0</v>
      </c>
      <c r="L63" s="90">
        <f t="shared" si="8"/>
        <v>0</v>
      </c>
      <c r="M63" s="90">
        <f t="shared" si="8"/>
        <v>0</v>
      </c>
      <c r="N63" s="90">
        <f t="shared" si="8"/>
        <v>0</v>
      </c>
      <c r="O63" s="91" t="str">
        <f>IFERROR((INDEX(C63:N63,1,LatestAudCol)-INDEX(C63:N63,1,PriorAudCol))/ABS(INDEX(C63:N63,1,PriorAudCol)),"")</f>
        <v/>
      </c>
    </row>
    <row r="64" spans="1:16" ht="19.5" customHeight="1" x14ac:dyDescent="0.55000000000000004">
      <c r="A64" s="310" t="s">
        <v>383</v>
      </c>
      <c r="B64" s="310"/>
      <c r="C64" s="310"/>
      <c r="D64" s="310"/>
      <c r="E64" s="310"/>
      <c r="F64" s="310"/>
      <c r="G64" s="310"/>
      <c r="H64" s="310"/>
      <c r="I64" s="310"/>
      <c r="J64" s="310"/>
      <c r="K64" s="310"/>
      <c r="L64" s="310"/>
      <c r="M64" s="310"/>
      <c r="N64" s="310"/>
      <c r="O64" s="310"/>
      <c r="P64" s="310"/>
    </row>
    <row r="65" spans="1:16" ht="15" customHeight="1" x14ac:dyDescent="0.55000000000000004">
      <c r="A65" s="86">
        <v>54</v>
      </c>
      <c r="B65" s="87" t="s">
        <v>384</v>
      </c>
      <c r="C65" s="88"/>
      <c r="D65" s="88"/>
      <c r="E65" s="88"/>
      <c r="F65" s="88"/>
      <c r="G65" s="88"/>
      <c r="H65" s="88"/>
      <c r="I65" s="88"/>
      <c r="J65" s="88"/>
      <c r="K65" s="88"/>
      <c r="L65" s="88"/>
      <c r="M65" s="88"/>
      <c r="N65" s="88"/>
    </row>
    <row r="66" spans="1:16" ht="15" customHeight="1" x14ac:dyDescent="0.55000000000000004">
      <c r="A66" s="86">
        <v>55</v>
      </c>
      <c r="B66" s="87" t="s">
        <v>385</v>
      </c>
      <c r="C66" s="88"/>
      <c r="D66" s="88"/>
      <c r="E66" s="88"/>
      <c r="F66" s="88"/>
      <c r="G66" s="88"/>
      <c r="H66" s="88"/>
      <c r="I66" s="88"/>
      <c r="J66" s="88"/>
      <c r="K66" s="88"/>
      <c r="L66" s="88"/>
      <c r="M66" s="88"/>
      <c r="N66" s="88"/>
    </row>
    <row r="67" spans="1:16" ht="15" customHeight="1" x14ac:dyDescent="0.55000000000000004">
      <c r="A67" s="86">
        <v>56</v>
      </c>
      <c r="B67" s="89" t="s">
        <v>280</v>
      </c>
      <c r="C67" s="90">
        <f t="shared" ref="C67:N67" si="9">C65+C66</f>
        <v>0</v>
      </c>
      <c r="D67" s="90">
        <f t="shared" si="9"/>
        <v>0</v>
      </c>
      <c r="E67" s="90">
        <f t="shared" si="9"/>
        <v>0</v>
      </c>
      <c r="F67" s="90">
        <f t="shared" si="9"/>
        <v>0</v>
      </c>
      <c r="G67" s="90">
        <f t="shared" si="9"/>
        <v>0</v>
      </c>
      <c r="H67" s="90">
        <f t="shared" si="9"/>
        <v>0</v>
      </c>
      <c r="I67" s="90">
        <f t="shared" si="9"/>
        <v>0</v>
      </c>
      <c r="J67" s="90">
        <f t="shared" si="9"/>
        <v>0</v>
      </c>
      <c r="K67" s="90">
        <f t="shared" si="9"/>
        <v>0</v>
      </c>
      <c r="L67" s="90">
        <f t="shared" si="9"/>
        <v>0</v>
      </c>
      <c r="M67" s="90">
        <f t="shared" si="9"/>
        <v>0</v>
      </c>
      <c r="N67" s="90">
        <f t="shared" si="9"/>
        <v>0</v>
      </c>
    </row>
    <row r="68" spans="1:16" ht="15" customHeight="1" x14ac:dyDescent="0.55000000000000004">
      <c r="A68" s="86">
        <v>57</v>
      </c>
      <c r="B68" s="87" t="s">
        <v>386</v>
      </c>
      <c r="C68" s="88"/>
      <c r="D68" s="88"/>
      <c r="E68" s="88"/>
      <c r="F68" s="88"/>
      <c r="G68" s="88"/>
      <c r="H68" s="88"/>
      <c r="I68" s="88"/>
      <c r="J68" s="88"/>
      <c r="K68" s="88"/>
      <c r="L68" s="88"/>
      <c r="M68" s="88"/>
      <c r="N68" s="88"/>
    </row>
    <row r="69" spans="1:16" ht="15" customHeight="1" x14ac:dyDescent="0.55000000000000004">
      <c r="A69" s="86">
        <v>58</v>
      </c>
      <c r="B69" s="87" t="s">
        <v>387</v>
      </c>
      <c r="C69" s="88"/>
      <c r="D69" s="88"/>
      <c r="E69" s="88"/>
      <c r="F69" s="88"/>
      <c r="G69" s="88"/>
      <c r="H69" s="88"/>
      <c r="I69" s="88"/>
      <c r="J69" s="88"/>
      <c r="K69" s="88"/>
      <c r="L69" s="88"/>
      <c r="M69" s="88"/>
      <c r="N69" s="88"/>
    </row>
    <row r="70" spans="1:16" ht="15" customHeight="1" x14ac:dyDescent="0.55000000000000004">
      <c r="A70" s="86">
        <v>59</v>
      </c>
      <c r="B70" s="87" t="s">
        <v>388</v>
      </c>
      <c r="C70" s="88"/>
      <c r="D70" s="88"/>
      <c r="E70" s="88"/>
      <c r="F70" s="88"/>
      <c r="G70" s="88"/>
      <c r="H70" s="88"/>
      <c r="I70" s="88"/>
      <c r="J70" s="88"/>
      <c r="K70" s="88"/>
      <c r="L70" s="88"/>
      <c r="M70" s="88"/>
      <c r="N70" s="88"/>
    </row>
    <row r="71" spans="1:16" ht="15" customHeight="1" x14ac:dyDescent="0.55000000000000004">
      <c r="A71" s="86">
        <v>60</v>
      </c>
      <c r="B71" s="87" t="s">
        <v>389</v>
      </c>
      <c r="C71" s="88"/>
      <c r="D71" s="88"/>
      <c r="E71" s="88"/>
      <c r="F71" s="88"/>
      <c r="G71" s="88"/>
      <c r="H71" s="88"/>
      <c r="I71" s="88"/>
      <c r="J71" s="88"/>
      <c r="K71" s="88"/>
      <c r="L71" s="88"/>
      <c r="M71" s="88"/>
      <c r="N71" s="88"/>
    </row>
    <row r="72" spans="1:16" ht="15" customHeight="1" x14ac:dyDescent="0.55000000000000004">
      <c r="A72" s="86">
        <v>61</v>
      </c>
      <c r="B72" s="89" t="s">
        <v>390</v>
      </c>
      <c r="C72" s="90">
        <f t="shared" ref="C72:N72" si="10">C70+C71</f>
        <v>0</v>
      </c>
      <c r="D72" s="90">
        <f t="shared" si="10"/>
        <v>0</v>
      </c>
      <c r="E72" s="90">
        <f t="shared" si="10"/>
        <v>0</v>
      </c>
      <c r="F72" s="90">
        <f t="shared" si="10"/>
        <v>0</v>
      </c>
      <c r="G72" s="90">
        <f t="shared" si="10"/>
        <v>0</v>
      </c>
      <c r="H72" s="90">
        <f t="shared" si="10"/>
        <v>0</v>
      </c>
      <c r="I72" s="90">
        <f t="shared" si="10"/>
        <v>0</v>
      </c>
      <c r="J72" s="90">
        <f t="shared" si="10"/>
        <v>0</v>
      </c>
      <c r="K72" s="90">
        <f t="shared" si="10"/>
        <v>0</v>
      </c>
      <c r="L72" s="90">
        <f t="shared" si="10"/>
        <v>0</v>
      </c>
      <c r="M72" s="90">
        <f t="shared" si="10"/>
        <v>0</v>
      </c>
      <c r="N72" s="90">
        <f t="shared" si="10"/>
        <v>0</v>
      </c>
    </row>
    <row r="73" spans="1:16" ht="15" customHeight="1" x14ac:dyDescent="0.55000000000000004">
      <c r="A73" s="86">
        <v>62</v>
      </c>
      <c r="B73" s="89" t="s">
        <v>391</v>
      </c>
      <c r="C73" s="90">
        <f t="shared" ref="C73:N73" si="11">C67+C68+C69+C72</f>
        <v>0</v>
      </c>
      <c r="D73" s="90">
        <f t="shared" si="11"/>
        <v>0</v>
      </c>
      <c r="E73" s="90">
        <f t="shared" si="11"/>
        <v>0</v>
      </c>
      <c r="F73" s="90">
        <f t="shared" si="11"/>
        <v>0</v>
      </c>
      <c r="G73" s="90">
        <f t="shared" si="11"/>
        <v>0</v>
      </c>
      <c r="H73" s="90">
        <f t="shared" si="11"/>
        <v>0</v>
      </c>
      <c r="I73" s="90">
        <f t="shared" si="11"/>
        <v>0</v>
      </c>
      <c r="J73" s="90">
        <f t="shared" si="11"/>
        <v>0</v>
      </c>
      <c r="K73" s="90">
        <f t="shared" si="11"/>
        <v>0</v>
      </c>
      <c r="L73" s="90">
        <f t="shared" si="11"/>
        <v>0</v>
      </c>
      <c r="M73" s="90">
        <f t="shared" si="11"/>
        <v>0</v>
      </c>
      <c r="N73" s="90">
        <f t="shared" si="11"/>
        <v>0</v>
      </c>
      <c r="O73" s="91" t="str">
        <f>IFERROR((INDEX(C73:N73,1,LatestAudCol)-INDEX(C73:N73,1,PriorAudCol))/ABS(INDEX(C73:N73,1,PriorAudCol)),"")</f>
        <v/>
      </c>
    </row>
    <row r="74" spans="1:16" ht="15" customHeight="1" x14ac:dyDescent="0.55000000000000004">
      <c r="A74" s="86">
        <v>63</v>
      </c>
      <c r="B74" s="87" t="s">
        <v>392</v>
      </c>
      <c r="C74" s="88"/>
      <c r="D74" s="88"/>
      <c r="E74" s="88"/>
      <c r="F74" s="88"/>
      <c r="G74" s="88"/>
      <c r="H74" s="88"/>
      <c r="I74" s="88"/>
      <c r="J74" s="88"/>
      <c r="K74" s="88"/>
      <c r="L74" s="88"/>
      <c r="M74" s="88"/>
      <c r="N74" s="88"/>
    </row>
    <row r="75" spans="1:16" ht="15" customHeight="1" x14ac:dyDescent="0.55000000000000004">
      <c r="A75" s="86">
        <v>64</v>
      </c>
      <c r="B75" s="87" t="s">
        <v>393</v>
      </c>
      <c r="C75" s="88"/>
      <c r="D75" s="88"/>
      <c r="E75" s="88"/>
      <c r="F75" s="88"/>
      <c r="G75" s="88"/>
      <c r="H75" s="88"/>
      <c r="I75" s="88"/>
      <c r="J75" s="88"/>
      <c r="K75" s="88"/>
      <c r="L75" s="88"/>
      <c r="M75" s="88"/>
      <c r="N75" s="88"/>
    </row>
    <row r="76" spans="1:16" ht="19.5" customHeight="1" x14ac:dyDescent="0.55000000000000004">
      <c r="A76" s="310" t="s">
        <v>394</v>
      </c>
      <c r="B76" s="310"/>
      <c r="C76" s="310"/>
      <c r="D76" s="310"/>
      <c r="E76" s="310"/>
      <c r="F76" s="310"/>
      <c r="G76" s="310"/>
      <c r="H76" s="310"/>
      <c r="I76" s="310"/>
      <c r="J76" s="310"/>
      <c r="K76" s="310"/>
      <c r="L76" s="310"/>
      <c r="M76" s="310"/>
      <c r="N76" s="310"/>
      <c r="O76" s="310"/>
      <c r="P76" s="310"/>
    </row>
    <row r="77" spans="1:16" ht="15" customHeight="1" x14ac:dyDescent="0.55000000000000004">
      <c r="A77" s="86">
        <v>65</v>
      </c>
      <c r="B77" s="87" t="s">
        <v>395</v>
      </c>
      <c r="C77" s="88"/>
      <c r="D77" s="88"/>
      <c r="E77" s="88"/>
      <c r="F77" s="88"/>
      <c r="G77" s="88"/>
      <c r="H77" s="88"/>
      <c r="I77" s="88"/>
      <c r="J77" s="88"/>
      <c r="K77" s="88"/>
      <c r="L77" s="88"/>
      <c r="M77" s="88"/>
      <c r="N77" s="88"/>
    </row>
    <row r="78" spans="1:16" ht="15" customHeight="1" x14ac:dyDescent="0.55000000000000004">
      <c r="A78" s="86">
        <v>66</v>
      </c>
      <c r="B78" s="87" t="s">
        <v>396</v>
      </c>
      <c r="C78" s="88"/>
      <c r="D78" s="88"/>
      <c r="E78" s="88"/>
      <c r="F78" s="88"/>
      <c r="G78" s="88"/>
      <c r="H78" s="88"/>
      <c r="I78" s="88"/>
      <c r="J78" s="88"/>
      <c r="K78" s="88"/>
      <c r="L78" s="88"/>
      <c r="M78" s="88"/>
      <c r="N78" s="88"/>
    </row>
    <row r="79" spans="1:16" ht="15" customHeight="1" x14ac:dyDescent="0.55000000000000004">
      <c r="A79" s="86">
        <v>67</v>
      </c>
      <c r="B79" s="87" t="s">
        <v>397</v>
      </c>
      <c r="C79" s="88"/>
      <c r="D79" s="88"/>
      <c r="E79" s="88"/>
      <c r="F79" s="88"/>
      <c r="G79" s="88"/>
      <c r="H79" s="88"/>
      <c r="I79" s="88"/>
      <c r="J79" s="88"/>
      <c r="K79" s="88"/>
      <c r="L79" s="88"/>
      <c r="M79" s="88"/>
      <c r="N79" s="88"/>
    </row>
    <row r="80" spans="1:16" ht="15" customHeight="1" x14ac:dyDescent="0.55000000000000004">
      <c r="A80" s="86">
        <v>68</v>
      </c>
      <c r="B80" s="87" t="s">
        <v>398</v>
      </c>
      <c r="C80" s="88"/>
      <c r="D80" s="88"/>
      <c r="E80" s="88"/>
      <c r="F80" s="88"/>
      <c r="G80" s="88"/>
      <c r="H80" s="88"/>
      <c r="I80" s="88"/>
      <c r="J80" s="88"/>
      <c r="K80" s="88"/>
      <c r="L80" s="88"/>
      <c r="M80" s="88"/>
      <c r="N80" s="88"/>
    </row>
    <row r="81" spans="1:16" ht="15" customHeight="1" x14ac:dyDescent="0.55000000000000004">
      <c r="A81" s="86">
        <v>69</v>
      </c>
      <c r="B81" s="89" t="s">
        <v>399</v>
      </c>
      <c r="C81" s="90">
        <f t="shared" ref="C81:N81" si="12">SUM(C77:C80)</f>
        <v>0</v>
      </c>
      <c r="D81" s="90">
        <f t="shared" si="12"/>
        <v>0</v>
      </c>
      <c r="E81" s="90">
        <f t="shared" si="12"/>
        <v>0</v>
      </c>
      <c r="F81" s="90">
        <f t="shared" si="12"/>
        <v>0</v>
      </c>
      <c r="G81" s="90">
        <f t="shared" si="12"/>
        <v>0</v>
      </c>
      <c r="H81" s="90">
        <f t="shared" si="12"/>
        <v>0</v>
      </c>
      <c r="I81" s="90">
        <f t="shared" si="12"/>
        <v>0</v>
      </c>
      <c r="J81" s="90">
        <f t="shared" si="12"/>
        <v>0</v>
      </c>
      <c r="K81" s="90">
        <f t="shared" si="12"/>
        <v>0</v>
      </c>
      <c r="L81" s="90">
        <f t="shared" si="12"/>
        <v>0</v>
      </c>
      <c r="M81" s="90">
        <f t="shared" si="12"/>
        <v>0</v>
      </c>
      <c r="N81" s="90">
        <f t="shared" si="12"/>
        <v>0</v>
      </c>
    </row>
    <row r="82" spans="1:16" ht="15" customHeight="1" x14ac:dyDescent="0.55000000000000004">
      <c r="A82" s="86">
        <v>70</v>
      </c>
      <c r="B82" s="89" t="s">
        <v>400</v>
      </c>
      <c r="C82" s="90">
        <f t="shared" ref="C82:N82" si="13">C58+C63+C73+C74+C75+C81</f>
        <v>0</v>
      </c>
      <c r="D82" s="90">
        <f t="shared" si="13"/>
        <v>0</v>
      </c>
      <c r="E82" s="90">
        <f t="shared" si="13"/>
        <v>0</v>
      </c>
      <c r="F82" s="90">
        <f t="shared" si="13"/>
        <v>0</v>
      </c>
      <c r="G82" s="90">
        <f t="shared" si="13"/>
        <v>0</v>
      </c>
      <c r="H82" s="90">
        <f t="shared" si="13"/>
        <v>0</v>
      </c>
      <c r="I82" s="90">
        <f t="shared" si="13"/>
        <v>0</v>
      </c>
      <c r="J82" s="90">
        <f t="shared" si="13"/>
        <v>0</v>
      </c>
      <c r="K82" s="90">
        <f t="shared" si="13"/>
        <v>0</v>
      </c>
      <c r="L82" s="90">
        <f t="shared" si="13"/>
        <v>0</v>
      </c>
      <c r="M82" s="90">
        <f t="shared" si="13"/>
        <v>0</v>
      </c>
      <c r="N82" s="90">
        <f t="shared" si="13"/>
        <v>0</v>
      </c>
      <c r="O82" s="91" t="str">
        <f>IFERROR((INDEX(C82:N82,1,LatestAudCol)-INDEX(C82:N82,1,PriorAudCol))/ABS(INDEX(C82:N82,1,PriorAudCol)),"")</f>
        <v/>
      </c>
    </row>
    <row r="83" spans="1:16" ht="19.5" customHeight="1" x14ac:dyDescent="0.55000000000000004">
      <c r="A83" s="310" t="s">
        <v>401</v>
      </c>
      <c r="B83" s="310"/>
      <c r="C83" s="310"/>
      <c r="D83" s="310"/>
      <c r="E83" s="310"/>
      <c r="F83" s="310"/>
      <c r="G83" s="310"/>
      <c r="H83" s="310"/>
      <c r="I83" s="310"/>
      <c r="J83" s="310"/>
      <c r="K83" s="310"/>
      <c r="L83" s="310"/>
      <c r="M83" s="310"/>
      <c r="N83" s="310"/>
      <c r="O83" s="310"/>
      <c r="P83" s="310"/>
    </row>
    <row r="84" spans="1:16" ht="15" customHeight="1" x14ac:dyDescent="0.55000000000000004">
      <c r="A84" s="86">
        <v>71</v>
      </c>
      <c r="B84" s="87" t="s">
        <v>402</v>
      </c>
      <c r="C84" s="88"/>
      <c r="D84" s="88"/>
      <c r="E84" s="88"/>
      <c r="F84" s="88"/>
      <c r="G84" s="88"/>
      <c r="H84" s="88"/>
      <c r="I84" s="88"/>
      <c r="J84" s="88"/>
      <c r="K84" s="88"/>
      <c r="L84" s="88"/>
      <c r="M84" s="88"/>
      <c r="N84" s="88"/>
    </row>
    <row r="85" spans="1:16" ht="15" customHeight="1" x14ac:dyDescent="0.55000000000000004">
      <c r="A85" s="86">
        <v>72</v>
      </c>
      <c r="B85" s="87" t="s">
        <v>403</v>
      </c>
      <c r="C85" s="88"/>
      <c r="D85" s="88"/>
      <c r="E85" s="88"/>
      <c r="F85" s="88"/>
      <c r="G85" s="88"/>
      <c r="H85" s="88"/>
      <c r="I85" s="88"/>
      <c r="J85" s="88"/>
      <c r="K85" s="88"/>
      <c r="L85" s="88"/>
      <c r="M85" s="88"/>
      <c r="N85" s="88"/>
    </row>
    <row r="86" spans="1:16" ht="15" customHeight="1" x14ac:dyDescent="0.55000000000000004">
      <c r="A86" s="86">
        <v>73</v>
      </c>
      <c r="B86" s="87" t="s">
        <v>404</v>
      </c>
      <c r="C86" s="88"/>
      <c r="D86" s="88"/>
      <c r="E86" s="88"/>
      <c r="F86" s="88"/>
      <c r="G86" s="88"/>
      <c r="H86" s="88"/>
      <c r="I86" s="88"/>
      <c r="J86" s="88"/>
      <c r="K86" s="88"/>
      <c r="L86" s="88"/>
      <c r="M86" s="88"/>
      <c r="N86" s="88"/>
    </row>
    <row r="87" spans="1:16" ht="15" customHeight="1" x14ac:dyDescent="0.55000000000000004">
      <c r="A87" s="86">
        <v>74</v>
      </c>
      <c r="B87" s="89" t="s">
        <v>405</v>
      </c>
      <c r="C87" s="90">
        <f t="shared" ref="C87:N87" si="14">C84+C85-C86</f>
        <v>0</v>
      </c>
      <c r="D87" s="90">
        <f t="shared" si="14"/>
        <v>0</v>
      </c>
      <c r="E87" s="90">
        <f t="shared" si="14"/>
        <v>0</v>
      </c>
      <c r="F87" s="90">
        <f t="shared" si="14"/>
        <v>0</v>
      </c>
      <c r="G87" s="90">
        <f t="shared" si="14"/>
        <v>0</v>
      </c>
      <c r="H87" s="90">
        <f t="shared" si="14"/>
        <v>0</v>
      </c>
      <c r="I87" s="90">
        <f t="shared" si="14"/>
        <v>0</v>
      </c>
      <c r="J87" s="90">
        <f t="shared" si="14"/>
        <v>0</v>
      </c>
      <c r="K87" s="90">
        <f t="shared" si="14"/>
        <v>0</v>
      </c>
      <c r="L87" s="90">
        <f t="shared" si="14"/>
        <v>0</v>
      </c>
      <c r="M87" s="90">
        <f t="shared" si="14"/>
        <v>0</v>
      </c>
      <c r="N87" s="90">
        <f t="shared" si="14"/>
        <v>0</v>
      </c>
      <c r="O87" s="91" t="str">
        <f>IFERROR((INDEX(C87:N87,1,LatestAudCol)-INDEX(C87:N87,1,PriorAudCol))/ABS(INDEX(C87:N87,1,PriorAudCol)),"")</f>
        <v/>
      </c>
    </row>
    <row r="88" spans="1:16" ht="19.5" customHeight="1" x14ac:dyDescent="0.55000000000000004">
      <c r="A88" s="310" t="s">
        <v>406</v>
      </c>
      <c r="B88" s="310"/>
      <c r="C88" s="310"/>
      <c r="D88" s="310"/>
      <c r="E88" s="310"/>
      <c r="F88" s="310"/>
      <c r="G88" s="310"/>
      <c r="H88" s="310"/>
      <c r="I88" s="310"/>
      <c r="J88" s="310"/>
      <c r="K88" s="310"/>
      <c r="L88" s="310"/>
      <c r="M88" s="310"/>
      <c r="N88" s="310"/>
      <c r="O88" s="310"/>
      <c r="P88" s="310"/>
    </row>
    <row r="89" spans="1:16" ht="15" customHeight="1" x14ac:dyDescent="0.55000000000000004">
      <c r="A89" s="86">
        <v>75</v>
      </c>
      <c r="B89" s="87" t="s">
        <v>407</v>
      </c>
      <c r="C89" s="88"/>
      <c r="D89" s="88"/>
      <c r="E89" s="88"/>
      <c r="F89" s="88"/>
      <c r="G89" s="88"/>
      <c r="H89" s="88"/>
      <c r="I89" s="88"/>
      <c r="J89" s="88"/>
      <c r="K89" s="88"/>
      <c r="L89" s="88"/>
      <c r="M89" s="88"/>
      <c r="N89" s="88"/>
    </row>
    <row r="90" spans="1:16" ht="15" customHeight="1" x14ac:dyDescent="0.55000000000000004">
      <c r="A90" s="86">
        <v>76</v>
      </c>
      <c r="B90" s="87" t="s">
        <v>408</v>
      </c>
      <c r="C90" s="88"/>
      <c r="D90" s="88"/>
      <c r="E90" s="88"/>
      <c r="F90" s="88"/>
      <c r="G90" s="88"/>
      <c r="H90" s="88"/>
      <c r="I90" s="88"/>
      <c r="J90" s="88"/>
      <c r="K90" s="88"/>
      <c r="L90" s="88"/>
      <c r="M90" s="88"/>
      <c r="N90" s="88"/>
    </row>
    <row r="91" spans="1:16" ht="15" customHeight="1" x14ac:dyDescent="0.55000000000000004">
      <c r="A91" s="86">
        <v>77</v>
      </c>
      <c r="B91" s="89" t="s">
        <v>409</v>
      </c>
      <c r="C91" s="90">
        <f t="shared" ref="C91:N91" si="15">C89+C90</f>
        <v>0</v>
      </c>
      <c r="D91" s="90">
        <f t="shared" si="15"/>
        <v>0</v>
      </c>
      <c r="E91" s="90">
        <f t="shared" si="15"/>
        <v>0</v>
      </c>
      <c r="F91" s="90">
        <f t="shared" si="15"/>
        <v>0</v>
      </c>
      <c r="G91" s="90">
        <f t="shared" si="15"/>
        <v>0</v>
      </c>
      <c r="H91" s="90">
        <f t="shared" si="15"/>
        <v>0</v>
      </c>
      <c r="I91" s="90">
        <f t="shared" si="15"/>
        <v>0</v>
      </c>
      <c r="J91" s="90">
        <f t="shared" si="15"/>
        <v>0</v>
      </c>
      <c r="K91" s="90">
        <f t="shared" si="15"/>
        <v>0</v>
      </c>
      <c r="L91" s="90">
        <f t="shared" si="15"/>
        <v>0</v>
      </c>
      <c r="M91" s="90">
        <f t="shared" si="15"/>
        <v>0</v>
      </c>
      <c r="N91" s="90">
        <f t="shared" si="15"/>
        <v>0</v>
      </c>
    </row>
    <row r="92" spans="1:16" ht="15" customHeight="1" x14ac:dyDescent="0.55000000000000004">
      <c r="A92" s="86">
        <v>78</v>
      </c>
      <c r="B92" s="87" t="s">
        <v>410</v>
      </c>
      <c r="C92" s="88"/>
      <c r="D92" s="88"/>
      <c r="E92" s="88"/>
      <c r="F92" s="88"/>
      <c r="G92" s="88"/>
      <c r="H92" s="88"/>
      <c r="I92" s="88"/>
      <c r="J92" s="88"/>
      <c r="K92" s="88"/>
      <c r="L92" s="88"/>
      <c r="M92" s="88"/>
      <c r="N92" s="88"/>
    </row>
    <row r="93" spans="1:16" ht="15" customHeight="1" x14ac:dyDescent="0.55000000000000004">
      <c r="A93" s="86">
        <v>79</v>
      </c>
      <c r="B93" s="87" t="s">
        <v>411</v>
      </c>
      <c r="C93" s="88"/>
      <c r="D93" s="88"/>
      <c r="E93" s="88"/>
      <c r="F93" s="88"/>
      <c r="G93" s="88"/>
      <c r="H93" s="88"/>
      <c r="I93" s="88"/>
      <c r="J93" s="88"/>
      <c r="K93" s="88"/>
      <c r="L93" s="88"/>
      <c r="M93" s="88"/>
      <c r="N93" s="88"/>
    </row>
    <row r="94" spans="1:16" ht="15" customHeight="1" x14ac:dyDescent="0.55000000000000004">
      <c r="A94" s="86">
        <v>80</v>
      </c>
      <c r="B94" s="87" t="s">
        <v>412</v>
      </c>
      <c r="C94" s="88"/>
      <c r="D94" s="88"/>
      <c r="E94" s="88"/>
      <c r="F94" s="88"/>
      <c r="G94" s="88"/>
      <c r="H94" s="88"/>
      <c r="I94" s="88"/>
      <c r="J94" s="88"/>
      <c r="K94" s="88"/>
      <c r="L94" s="88"/>
      <c r="M94" s="88"/>
      <c r="N94" s="88"/>
    </row>
    <row r="95" spans="1:16" ht="15" customHeight="1" x14ac:dyDescent="0.55000000000000004">
      <c r="A95" s="86">
        <v>81</v>
      </c>
      <c r="B95" s="87" t="s">
        <v>413</v>
      </c>
      <c r="C95" s="88"/>
      <c r="D95" s="88"/>
      <c r="E95" s="88"/>
      <c r="F95" s="88"/>
      <c r="G95" s="88"/>
      <c r="H95" s="88"/>
      <c r="I95" s="88"/>
      <c r="J95" s="88"/>
      <c r="K95" s="88"/>
      <c r="L95" s="88"/>
      <c r="M95" s="88"/>
      <c r="N95" s="88"/>
    </row>
    <row r="96" spans="1:16" ht="15" customHeight="1" x14ac:dyDescent="0.55000000000000004">
      <c r="A96" s="86">
        <v>82</v>
      </c>
      <c r="B96" s="87" t="s">
        <v>414</v>
      </c>
      <c r="C96" s="88"/>
      <c r="D96" s="88"/>
      <c r="E96" s="88"/>
      <c r="F96" s="88"/>
      <c r="G96" s="88"/>
      <c r="H96" s="88"/>
      <c r="I96" s="88"/>
      <c r="J96" s="88"/>
      <c r="K96" s="88"/>
      <c r="L96" s="88"/>
      <c r="M96" s="88"/>
      <c r="N96" s="88"/>
    </row>
    <row r="97" spans="1:16" ht="15" customHeight="1" x14ac:dyDescent="0.55000000000000004">
      <c r="A97" s="86">
        <v>83</v>
      </c>
      <c r="B97" s="87" t="s">
        <v>415</v>
      </c>
      <c r="C97" s="88"/>
      <c r="D97" s="88"/>
      <c r="E97" s="88"/>
      <c r="F97" s="88"/>
      <c r="G97" s="88"/>
      <c r="H97" s="88"/>
      <c r="I97" s="88"/>
      <c r="J97" s="88"/>
      <c r="K97" s="88"/>
      <c r="L97" s="88"/>
      <c r="M97" s="88"/>
      <c r="N97" s="88"/>
    </row>
    <row r="98" spans="1:16" ht="15" customHeight="1" x14ac:dyDescent="0.55000000000000004">
      <c r="A98" s="86">
        <v>84</v>
      </c>
      <c r="B98" s="87" t="s">
        <v>416</v>
      </c>
      <c r="C98" s="88"/>
      <c r="D98" s="88"/>
      <c r="E98" s="88"/>
      <c r="F98" s="88"/>
      <c r="G98" s="88"/>
      <c r="H98" s="88"/>
      <c r="I98" s="88"/>
      <c r="J98" s="88"/>
      <c r="K98" s="88"/>
      <c r="L98" s="88"/>
      <c r="M98" s="88"/>
      <c r="N98" s="88"/>
    </row>
    <row r="99" spans="1:16" ht="15" customHeight="1" x14ac:dyDescent="0.55000000000000004">
      <c r="A99" s="86">
        <v>85</v>
      </c>
      <c r="B99" s="87" t="s">
        <v>417</v>
      </c>
      <c r="C99" s="88"/>
      <c r="D99" s="88"/>
      <c r="E99" s="88"/>
      <c r="F99" s="88"/>
      <c r="G99" s="88"/>
      <c r="H99" s="88"/>
      <c r="I99" s="88"/>
      <c r="J99" s="88"/>
      <c r="K99" s="88"/>
      <c r="L99" s="88"/>
      <c r="M99" s="88"/>
      <c r="N99" s="88"/>
    </row>
    <row r="100" spans="1:16" ht="15" customHeight="1" x14ac:dyDescent="0.55000000000000004">
      <c r="A100" s="86">
        <v>86</v>
      </c>
      <c r="B100" s="89" t="s">
        <v>418</v>
      </c>
      <c r="C100" s="90">
        <f t="shared" ref="C100:N100" si="16">SUM(C92:C99)</f>
        <v>0</v>
      </c>
      <c r="D100" s="90">
        <f t="shared" si="16"/>
        <v>0</v>
      </c>
      <c r="E100" s="90">
        <f t="shared" si="16"/>
        <v>0</v>
      </c>
      <c r="F100" s="90">
        <f t="shared" si="16"/>
        <v>0</v>
      </c>
      <c r="G100" s="90">
        <f t="shared" si="16"/>
        <v>0</v>
      </c>
      <c r="H100" s="90">
        <f t="shared" si="16"/>
        <v>0</v>
      </c>
      <c r="I100" s="90">
        <f t="shared" si="16"/>
        <v>0</v>
      </c>
      <c r="J100" s="90">
        <f t="shared" si="16"/>
        <v>0</v>
      </c>
      <c r="K100" s="90">
        <f t="shared" si="16"/>
        <v>0</v>
      </c>
      <c r="L100" s="90">
        <f t="shared" si="16"/>
        <v>0</v>
      </c>
      <c r="M100" s="90">
        <f t="shared" si="16"/>
        <v>0</v>
      </c>
      <c r="N100" s="90">
        <f t="shared" si="16"/>
        <v>0</v>
      </c>
    </row>
    <row r="101" spans="1:16" ht="15" customHeight="1" x14ac:dyDescent="0.55000000000000004">
      <c r="A101" s="86">
        <v>87</v>
      </c>
      <c r="B101" s="87" t="s">
        <v>419</v>
      </c>
      <c r="C101" s="88"/>
      <c r="D101" s="88"/>
      <c r="E101" s="88"/>
      <c r="F101" s="88"/>
      <c r="G101" s="88"/>
      <c r="H101" s="88"/>
      <c r="I101" s="88"/>
      <c r="J101" s="88"/>
      <c r="K101" s="88"/>
      <c r="L101" s="88"/>
      <c r="M101" s="88"/>
      <c r="N101" s="88"/>
    </row>
    <row r="102" spans="1:16" ht="15" customHeight="1" x14ac:dyDescent="0.55000000000000004">
      <c r="A102" s="86">
        <v>88</v>
      </c>
      <c r="B102" s="89" t="s">
        <v>420</v>
      </c>
      <c r="C102" s="90">
        <f t="shared" ref="C102:N102" si="17">C91+C100+C101</f>
        <v>0</v>
      </c>
      <c r="D102" s="90">
        <f t="shared" si="17"/>
        <v>0</v>
      </c>
      <c r="E102" s="90">
        <f t="shared" si="17"/>
        <v>0</v>
      </c>
      <c r="F102" s="90">
        <f t="shared" si="17"/>
        <v>0</v>
      </c>
      <c r="G102" s="90">
        <f t="shared" si="17"/>
        <v>0</v>
      </c>
      <c r="H102" s="90">
        <f t="shared" si="17"/>
        <v>0</v>
      </c>
      <c r="I102" s="90">
        <f t="shared" si="17"/>
        <v>0</v>
      </c>
      <c r="J102" s="90">
        <f t="shared" si="17"/>
        <v>0</v>
      </c>
      <c r="K102" s="90">
        <f t="shared" si="17"/>
        <v>0</v>
      </c>
      <c r="L102" s="90">
        <f t="shared" si="17"/>
        <v>0</v>
      </c>
      <c r="M102" s="90">
        <f t="shared" si="17"/>
        <v>0</v>
      </c>
      <c r="N102" s="90">
        <f t="shared" si="17"/>
        <v>0</v>
      </c>
    </row>
    <row r="103" spans="1:16" ht="19.5" customHeight="1" x14ac:dyDescent="0.55000000000000004">
      <c r="A103" s="310" t="s">
        <v>421</v>
      </c>
      <c r="B103" s="310"/>
      <c r="C103" s="310"/>
      <c r="D103" s="310"/>
      <c r="E103" s="310"/>
      <c r="F103" s="310"/>
      <c r="G103" s="310"/>
      <c r="H103" s="310"/>
      <c r="I103" s="310"/>
      <c r="J103" s="310"/>
      <c r="K103" s="310"/>
      <c r="L103" s="310"/>
      <c r="M103" s="310"/>
      <c r="N103" s="310"/>
      <c r="O103" s="310"/>
      <c r="P103" s="310"/>
    </row>
    <row r="104" spans="1:16" ht="15" customHeight="1" x14ac:dyDescent="0.55000000000000004">
      <c r="A104" s="86">
        <v>89</v>
      </c>
      <c r="B104" s="87" t="s">
        <v>422</v>
      </c>
      <c r="C104" s="88"/>
      <c r="D104" s="88"/>
      <c r="E104" s="88"/>
      <c r="F104" s="88"/>
      <c r="G104" s="88"/>
      <c r="H104" s="88"/>
      <c r="I104" s="88"/>
      <c r="J104" s="88"/>
      <c r="K104" s="88"/>
      <c r="L104" s="88"/>
      <c r="M104" s="88"/>
      <c r="N104" s="88"/>
    </row>
    <row r="105" spans="1:16" ht="15" customHeight="1" x14ac:dyDescent="0.55000000000000004">
      <c r="A105" s="86">
        <v>90</v>
      </c>
      <c r="B105" s="87" t="s">
        <v>423</v>
      </c>
      <c r="C105" s="88"/>
      <c r="D105" s="88"/>
      <c r="E105" s="88"/>
      <c r="F105" s="88"/>
      <c r="G105" s="88"/>
      <c r="H105" s="88"/>
      <c r="I105" s="88"/>
      <c r="J105" s="88"/>
      <c r="K105" s="88"/>
      <c r="L105" s="88"/>
      <c r="M105" s="88"/>
      <c r="N105" s="88"/>
    </row>
    <row r="106" spans="1:16" ht="15" customHeight="1" x14ac:dyDescent="0.55000000000000004">
      <c r="A106" s="86">
        <v>91</v>
      </c>
      <c r="B106" s="89" t="s">
        <v>424</v>
      </c>
      <c r="C106" s="90">
        <f t="shared" ref="C106:N106" si="18">C104-C105</f>
        <v>0</v>
      </c>
      <c r="D106" s="90">
        <f t="shared" si="18"/>
        <v>0</v>
      </c>
      <c r="E106" s="90">
        <f t="shared" si="18"/>
        <v>0</v>
      </c>
      <c r="F106" s="90">
        <f t="shared" si="18"/>
        <v>0</v>
      </c>
      <c r="G106" s="90">
        <f t="shared" si="18"/>
        <v>0</v>
      </c>
      <c r="H106" s="90">
        <f t="shared" si="18"/>
        <v>0</v>
      </c>
      <c r="I106" s="90">
        <f t="shared" si="18"/>
        <v>0</v>
      </c>
      <c r="J106" s="90">
        <f t="shared" si="18"/>
        <v>0</v>
      </c>
      <c r="K106" s="90">
        <f t="shared" si="18"/>
        <v>0</v>
      </c>
      <c r="L106" s="90">
        <f t="shared" si="18"/>
        <v>0</v>
      </c>
      <c r="M106" s="90">
        <f t="shared" si="18"/>
        <v>0</v>
      </c>
      <c r="N106" s="90">
        <f t="shared" si="18"/>
        <v>0</v>
      </c>
    </row>
    <row r="107" spans="1:16" ht="15" customHeight="1" x14ac:dyDescent="0.55000000000000004">
      <c r="A107" s="86">
        <v>92</v>
      </c>
      <c r="B107" s="87" t="s">
        <v>425</v>
      </c>
      <c r="C107" s="88"/>
      <c r="D107" s="88"/>
      <c r="E107" s="88"/>
      <c r="F107" s="88"/>
      <c r="G107" s="88"/>
      <c r="H107" s="88"/>
      <c r="I107" s="88"/>
      <c r="J107" s="88"/>
      <c r="K107" s="88"/>
      <c r="L107" s="88"/>
      <c r="M107" s="88"/>
      <c r="N107" s="88"/>
    </row>
    <row r="108" spans="1:16" ht="15" customHeight="1" x14ac:dyDescent="0.55000000000000004">
      <c r="A108" s="86">
        <v>93</v>
      </c>
      <c r="B108" s="89" t="s">
        <v>426</v>
      </c>
      <c r="C108" s="90">
        <f t="shared" ref="C108:N108" si="19">C82+C87+C102+C106+C107</f>
        <v>0</v>
      </c>
      <c r="D108" s="90">
        <f t="shared" si="19"/>
        <v>0</v>
      </c>
      <c r="E108" s="90">
        <f t="shared" si="19"/>
        <v>0</v>
      </c>
      <c r="F108" s="90">
        <f t="shared" si="19"/>
        <v>0</v>
      </c>
      <c r="G108" s="90">
        <f t="shared" si="19"/>
        <v>0</v>
      </c>
      <c r="H108" s="90">
        <f t="shared" si="19"/>
        <v>0</v>
      </c>
      <c r="I108" s="90">
        <f t="shared" si="19"/>
        <v>0</v>
      </c>
      <c r="J108" s="90">
        <f t="shared" si="19"/>
        <v>0</v>
      </c>
      <c r="K108" s="90">
        <f t="shared" si="19"/>
        <v>0</v>
      </c>
      <c r="L108" s="90">
        <f t="shared" si="19"/>
        <v>0</v>
      </c>
      <c r="M108" s="90">
        <f t="shared" si="19"/>
        <v>0</v>
      </c>
      <c r="N108" s="90">
        <f t="shared" si="19"/>
        <v>0</v>
      </c>
      <c r="O108" s="91" t="str">
        <f>IFERROR((INDEX(C108:N108,1,LatestAudCol)-INDEX(C108:N108,1,PriorAudCol))/ABS(INDEX(C108:N108,1,PriorAudCol)),"")</f>
        <v/>
      </c>
    </row>
    <row r="109" spans="1:16" ht="15" customHeight="1" x14ac:dyDescent="0.55000000000000004">
      <c r="B109" s="93" t="s">
        <v>427</v>
      </c>
      <c r="C109" s="90">
        <f t="shared" ref="C109:N109" si="20">C53-C108</f>
        <v>0</v>
      </c>
      <c r="D109" s="90">
        <f t="shared" si="20"/>
        <v>0</v>
      </c>
      <c r="E109" s="90">
        <f t="shared" si="20"/>
        <v>0</v>
      </c>
      <c r="F109" s="90">
        <f t="shared" si="20"/>
        <v>0</v>
      </c>
      <c r="G109" s="90">
        <f t="shared" si="20"/>
        <v>0</v>
      </c>
      <c r="H109" s="90">
        <f t="shared" si="20"/>
        <v>0</v>
      </c>
      <c r="I109" s="90">
        <f t="shared" si="20"/>
        <v>0</v>
      </c>
      <c r="J109" s="90">
        <f t="shared" si="20"/>
        <v>0</v>
      </c>
      <c r="K109" s="90">
        <f t="shared" si="20"/>
        <v>0</v>
      </c>
      <c r="L109" s="90">
        <f t="shared" si="20"/>
        <v>0</v>
      </c>
      <c r="M109" s="90">
        <f t="shared" si="20"/>
        <v>0</v>
      </c>
      <c r="N109" s="90">
        <f t="shared" si="20"/>
        <v>0</v>
      </c>
    </row>
  </sheetData>
  <mergeCells count="12">
    <mergeCell ref="A88:P88"/>
    <mergeCell ref="A103:P103"/>
    <mergeCell ref="A42:P42"/>
    <mergeCell ref="A54:P54"/>
    <mergeCell ref="A64:P64"/>
    <mergeCell ref="A76:P76"/>
    <mergeCell ref="A83:P83"/>
    <mergeCell ref="A1:P1"/>
    <mergeCell ref="A2:P2"/>
    <mergeCell ref="A6:P6"/>
    <mergeCell ref="A12:P12"/>
    <mergeCell ref="A28:P28"/>
  </mergeCells>
  <conditionalFormatting sqref="C4:C109">
    <cfRule type="expression" dxfId="100" priority="2">
      <formula>1&gt;TotalCols</formula>
    </cfRule>
  </conditionalFormatting>
  <conditionalFormatting sqref="D4:D109">
    <cfRule type="expression" dxfId="99" priority="3">
      <formula>2&gt;TotalCols</formula>
    </cfRule>
  </conditionalFormatting>
  <conditionalFormatting sqref="E4:E109">
    <cfRule type="expression" dxfId="98" priority="4">
      <formula>3&gt;TotalCols</formula>
    </cfRule>
  </conditionalFormatting>
  <conditionalFormatting sqref="F4:F109">
    <cfRule type="expression" dxfId="97" priority="5">
      <formula>4&gt;TotalCols</formula>
    </cfRule>
  </conditionalFormatting>
  <conditionalFormatting sqref="G4:G109">
    <cfRule type="expression" dxfId="96" priority="6">
      <formula>5&gt;TotalCols</formula>
    </cfRule>
  </conditionalFormatting>
  <conditionalFormatting sqref="H4:H109">
    <cfRule type="expression" dxfId="95" priority="7">
      <formula>6&gt;TotalCols</formula>
    </cfRule>
  </conditionalFormatting>
  <conditionalFormatting sqref="I4:I109">
    <cfRule type="expression" dxfId="94" priority="8">
      <formula>7&gt;TotalCols</formula>
    </cfRule>
  </conditionalFormatting>
  <conditionalFormatting sqref="J4:J109">
    <cfRule type="expression" dxfId="93" priority="9">
      <formula>8&gt;TotalCols</formula>
    </cfRule>
  </conditionalFormatting>
  <conditionalFormatting sqref="K4:K109">
    <cfRule type="expression" dxfId="92" priority="10">
      <formula>9&gt;TotalCols</formula>
    </cfRule>
  </conditionalFormatting>
  <conditionalFormatting sqref="L4:L109">
    <cfRule type="expression" dxfId="91" priority="11">
      <formula>10&gt;TotalCols</formula>
    </cfRule>
  </conditionalFormatting>
  <conditionalFormatting sqref="M4:M109">
    <cfRule type="expression" dxfId="90" priority="12">
      <formula>11&gt;TotalCols</formula>
    </cfRule>
  </conditionalFormatting>
  <conditionalFormatting sqref="N4:N109">
    <cfRule type="expression" dxfId="89" priority="13">
      <formula>12&gt;TotalCols</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P22"/>
  <sheetViews>
    <sheetView zoomScaleNormal="100" workbookViewId="0">
      <selection sqref="A1:P1"/>
    </sheetView>
  </sheetViews>
  <sheetFormatPr defaultColWidth="8.68359375" defaultRowHeight="14.4" x14ac:dyDescent="0.55000000000000004"/>
  <cols>
    <col min="1" max="1" width="6" customWidth="1"/>
    <col min="2" max="2" width="50" customWidth="1"/>
    <col min="3" max="15" width="12" customWidth="1"/>
    <col min="16" max="16" width="35" customWidth="1"/>
  </cols>
  <sheetData>
    <row r="1" spans="1:16" ht="24" customHeight="1" x14ac:dyDescent="0.55000000000000004">
      <c r="A1" s="294" t="str">
        <f>CONCATENATE("DSCR CALCULATION  |  ₹ Crores  |  ", BorrowerName)</f>
        <v xml:space="preserve">DSCR CALCULATION  |  ₹ Crores  |  </v>
      </c>
      <c r="B1" s="294"/>
      <c r="C1" s="294"/>
      <c r="D1" s="294"/>
      <c r="E1" s="294"/>
      <c r="F1" s="294"/>
      <c r="G1" s="294"/>
      <c r="H1" s="294"/>
      <c r="I1" s="294"/>
      <c r="J1" s="294"/>
      <c r="K1" s="294"/>
      <c r="L1" s="294"/>
      <c r="M1" s="294"/>
      <c r="N1" s="294"/>
      <c r="O1" s="294"/>
      <c r="P1" s="294"/>
    </row>
    <row r="2" spans="1:16" ht="15" customHeight="1" x14ac:dyDescent="0.55000000000000004">
      <c r="A2" s="295" t="s">
        <v>428</v>
      </c>
      <c r="B2" s="295"/>
      <c r="C2" s="295"/>
      <c r="D2" s="295"/>
      <c r="E2" s="295"/>
      <c r="F2" s="295"/>
      <c r="G2" s="295"/>
      <c r="H2" s="295"/>
      <c r="I2" s="295"/>
      <c r="J2" s="295"/>
      <c r="K2" s="295"/>
      <c r="L2" s="295"/>
      <c r="M2" s="295"/>
      <c r="N2" s="295"/>
      <c r="O2" s="295"/>
      <c r="P2" s="295"/>
    </row>
    <row r="3" spans="1:16" ht="30" customHeight="1" x14ac:dyDescent="0.55000000000000004">
      <c r="A3" s="79" t="s">
        <v>251</v>
      </c>
      <c r="B3" s="79" t="s">
        <v>252</v>
      </c>
      <c r="C3" s="80" t="s">
        <v>253</v>
      </c>
      <c r="D3" s="80" t="s">
        <v>254</v>
      </c>
      <c r="E3" s="80" t="s">
        <v>255</v>
      </c>
      <c r="F3" s="80" t="s">
        <v>256</v>
      </c>
      <c r="G3" s="80" t="s">
        <v>257</v>
      </c>
      <c r="H3" s="80" t="s">
        <v>258</v>
      </c>
      <c r="I3" s="80" t="s">
        <v>259</v>
      </c>
      <c r="J3" s="80" t="s">
        <v>260</v>
      </c>
      <c r="K3" s="80" t="s">
        <v>261</v>
      </c>
      <c r="L3" s="80" t="s">
        <v>262</v>
      </c>
      <c r="M3" s="80" t="s">
        <v>263</v>
      </c>
      <c r="N3" s="80" t="s">
        <v>264</v>
      </c>
      <c r="O3" s="81" t="s">
        <v>265</v>
      </c>
      <c r="P3" s="81" t="s">
        <v>266</v>
      </c>
    </row>
    <row r="4" spans="1:16" ht="18"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5" spans="1:16" ht="15" customHeight="1" x14ac:dyDescent="0.55000000000000004">
      <c r="B5" s="84" t="s">
        <v>268</v>
      </c>
      <c r="C5" s="85" t="str">
        <f>INDEX('0_Setup'!$C$48:$C$59,1)</f>
        <v>Audited</v>
      </c>
      <c r="D5" s="85" t="str">
        <f>INDEX('0_Setup'!$C$48:$C$59,2)</f>
        <v>Audited</v>
      </c>
      <c r="E5" s="85" t="str">
        <f>INDEX('0_Setup'!$C$48:$C$59,3)</f>
        <v>Estimated</v>
      </c>
      <c r="F5" s="85" t="str">
        <f>INDEX('0_Setup'!$C$48:$C$59,4)</f>
        <v>Audited/Provisional</v>
      </c>
      <c r="G5" s="85" t="str">
        <f>INDEX('0_Setup'!$C$48:$C$59,5)</f>
        <v>Estimated</v>
      </c>
      <c r="H5" s="85" t="str">
        <f>INDEX('0_Setup'!$C$48:$C$59,6)</f>
        <v>Projected</v>
      </c>
      <c r="I5" s="85" t="str">
        <f>INDEX('0_Setup'!$C$48:$C$59,7)</f>
        <v>Projected</v>
      </c>
      <c r="J5" s="85" t="str">
        <f>INDEX('0_Setup'!$C$48:$C$59,8)</f>
        <v>Projected</v>
      </c>
      <c r="K5" s="85" t="str">
        <f>INDEX('0_Setup'!$C$48:$C$59,9)</f>
        <v>Projected</v>
      </c>
      <c r="L5" s="85" t="str">
        <f>INDEX('0_Setup'!$C$48:$C$59,10)</f>
        <v/>
      </c>
      <c r="M5" s="85" t="str">
        <f>INDEX('0_Setup'!$C$48:$C$59,11)</f>
        <v/>
      </c>
      <c r="N5" s="85" t="str">
        <f>INDEX('0_Setup'!$C$48:$C$59,12)</f>
        <v/>
      </c>
    </row>
    <row r="6" spans="1:16" ht="19.5" customHeight="1" x14ac:dyDescent="0.55000000000000004">
      <c r="A6" s="310" t="s">
        <v>429</v>
      </c>
      <c r="B6" s="310"/>
      <c r="C6" s="310"/>
      <c r="D6" s="310"/>
      <c r="E6" s="310"/>
      <c r="F6" s="310"/>
      <c r="G6" s="310"/>
      <c r="H6" s="310"/>
      <c r="I6" s="310"/>
      <c r="J6" s="310"/>
      <c r="K6" s="310"/>
      <c r="L6" s="310"/>
      <c r="M6" s="310"/>
      <c r="N6" s="310"/>
      <c r="O6" s="310"/>
      <c r="P6" s="310"/>
    </row>
    <row r="7" spans="1:16" ht="15" customHeight="1" x14ac:dyDescent="0.55000000000000004">
      <c r="A7" s="86">
        <v>1</v>
      </c>
      <c r="B7" s="89" t="s">
        <v>430</v>
      </c>
      <c r="C7" s="90">
        <f>'2_Operating_Statement'!C58+'2_Operating_Statement'!C24</f>
        <v>0</v>
      </c>
      <c r="D7" s="90">
        <f>'2_Operating_Statement'!D58+'2_Operating_Statement'!D24</f>
        <v>0</v>
      </c>
      <c r="E7" s="90">
        <f>'2_Operating_Statement'!E58+'2_Operating_Statement'!E24</f>
        <v>0</v>
      </c>
      <c r="F7" s="90">
        <f>'2_Operating_Statement'!F58+'2_Operating_Statement'!F24</f>
        <v>0</v>
      </c>
      <c r="G7" s="90">
        <f>'2_Operating_Statement'!G58+'2_Operating_Statement'!G24</f>
        <v>0</v>
      </c>
      <c r="H7" s="90">
        <f>'2_Operating_Statement'!H58+'2_Operating_Statement'!H24</f>
        <v>0</v>
      </c>
      <c r="I7" s="90">
        <f>'2_Operating_Statement'!I58+'2_Operating_Statement'!I24</f>
        <v>0</v>
      </c>
      <c r="J7" s="90">
        <f>'2_Operating_Statement'!J58+'2_Operating_Statement'!J24</f>
        <v>0</v>
      </c>
      <c r="K7" s="90">
        <f>'2_Operating_Statement'!K58+'2_Operating_Statement'!K24</f>
        <v>0</v>
      </c>
      <c r="L7" s="90">
        <f>'2_Operating_Statement'!L58+'2_Operating_Statement'!L24</f>
        <v>0</v>
      </c>
      <c r="M7" s="90">
        <f>'2_Operating_Statement'!M58+'2_Operating_Statement'!M24</f>
        <v>0</v>
      </c>
      <c r="N7" s="90">
        <f>'2_Operating_Statement'!N58+'2_Operating_Statement'!N24</f>
        <v>0</v>
      </c>
    </row>
    <row r="8" spans="1:16" ht="15" customHeight="1" x14ac:dyDescent="0.55000000000000004">
      <c r="A8" s="86">
        <v>2</v>
      </c>
      <c r="B8" s="87" t="s">
        <v>431</v>
      </c>
      <c r="C8" s="88"/>
      <c r="D8" s="88"/>
      <c r="E8" s="88"/>
      <c r="F8" s="88"/>
      <c r="G8" s="88"/>
      <c r="H8" s="88"/>
      <c r="I8" s="88"/>
      <c r="J8" s="88"/>
      <c r="K8" s="88"/>
      <c r="L8" s="88"/>
      <c r="M8" s="88"/>
      <c r="N8" s="88"/>
    </row>
    <row r="9" spans="1:16" ht="15" customHeight="1" x14ac:dyDescent="0.55000000000000004">
      <c r="A9" s="86">
        <v>3</v>
      </c>
      <c r="B9" s="89" t="s">
        <v>432</v>
      </c>
      <c r="C9" s="90">
        <f t="shared" ref="C9:N9" si="0">C7-C8</f>
        <v>0</v>
      </c>
      <c r="D9" s="90">
        <f t="shared" si="0"/>
        <v>0</v>
      </c>
      <c r="E9" s="90">
        <f t="shared" si="0"/>
        <v>0</v>
      </c>
      <c r="F9" s="90">
        <f t="shared" si="0"/>
        <v>0</v>
      </c>
      <c r="G9" s="90">
        <f t="shared" si="0"/>
        <v>0</v>
      </c>
      <c r="H9" s="90">
        <f t="shared" si="0"/>
        <v>0</v>
      </c>
      <c r="I9" s="90">
        <f t="shared" si="0"/>
        <v>0</v>
      </c>
      <c r="J9" s="90">
        <f t="shared" si="0"/>
        <v>0</v>
      </c>
      <c r="K9" s="90">
        <f t="shared" si="0"/>
        <v>0</v>
      </c>
      <c r="L9" s="90">
        <f t="shared" si="0"/>
        <v>0</v>
      </c>
      <c r="M9" s="90">
        <f t="shared" si="0"/>
        <v>0</v>
      </c>
      <c r="N9" s="90">
        <f t="shared" si="0"/>
        <v>0</v>
      </c>
    </row>
    <row r="10" spans="1:16" ht="19.5" customHeight="1" x14ac:dyDescent="0.55000000000000004">
      <c r="A10" s="310" t="s">
        <v>433</v>
      </c>
      <c r="B10" s="310"/>
      <c r="C10" s="310"/>
      <c r="D10" s="310"/>
      <c r="E10" s="310"/>
      <c r="F10" s="310"/>
      <c r="G10" s="310"/>
      <c r="H10" s="310"/>
      <c r="I10" s="310"/>
      <c r="J10" s="310"/>
      <c r="K10" s="310"/>
      <c r="L10" s="310"/>
      <c r="M10" s="310"/>
      <c r="N10" s="310"/>
      <c r="O10" s="310"/>
      <c r="P10" s="310"/>
    </row>
    <row r="11" spans="1:16" ht="15" customHeight="1" x14ac:dyDescent="0.55000000000000004">
      <c r="A11" s="86">
        <v>4</v>
      </c>
      <c r="B11" s="87" t="s">
        <v>434</v>
      </c>
      <c r="C11" s="88"/>
      <c r="D11" s="88"/>
      <c r="E11" s="88"/>
      <c r="F11" s="88"/>
      <c r="G11" s="88"/>
      <c r="H11" s="88"/>
      <c r="I11" s="88"/>
      <c r="J11" s="88"/>
      <c r="K11" s="88"/>
      <c r="L11" s="88"/>
      <c r="M11" s="88"/>
      <c r="N11" s="88"/>
    </row>
    <row r="12" spans="1:16" ht="15" customHeight="1" x14ac:dyDescent="0.55000000000000004">
      <c r="A12" s="86">
        <v>5</v>
      </c>
      <c r="B12" s="87" t="s">
        <v>435</v>
      </c>
      <c r="C12" s="88"/>
      <c r="D12" s="88"/>
      <c r="E12" s="88"/>
      <c r="F12" s="88"/>
      <c r="G12" s="88"/>
      <c r="H12" s="88"/>
      <c r="I12" s="88"/>
      <c r="J12" s="88"/>
      <c r="K12" s="88"/>
      <c r="L12" s="88"/>
      <c r="M12" s="88"/>
      <c r="N12" s="88"/>
    </row>
    <row r="13" spans="1:16" ht="15" customHeight="1" x14ac:dyDescent="0.55000000000000004">
      <c r="A13" s="86">
        <v>6</v>
      </c>
      <c r="B13" s="89" t="s">
        <v>436</v>
      </c>
      <c r="C13" s="90">
        <f t="shared" ref="C13:N13" si="1">C11+C12</f>
        <v>0</v>
      </c>
      <c r="D13" s="90">
        <f t="shared" si="1"/>
        <v>0</v>
      </c>
      <c r="E13" s="90">
        <f t="shared" si="1"/>
        <v>0</v>
      </c>
      <c r="F13" s="90">
        <f t="shared" si="1"/>
        <v>0</v>
      </c>
      <c r="G13" s="90">
        <f t="shared" si="1"/>
        <v>0</v>
      </c>
      <c r="H13" s="90">
        <f t="shared" si="1"/>
        <v>0</v>
      </c>
      <c r="I13" s="90">
        <f t="shared" si="1"/>
        <v>0</v>
      </c>
      <c r="J13" s="90">
        <f t="shared" si="1"/>
        <v>0</v>
      </c>
      <c r="K13" s="90">
        <f t="shared" si="1"/>
        <v>0</v>
      </c>
      <c r="L13" s="90">
        <f t="shared" si="1"/>
        <v>0</v>
      </c>
      <c r="M13" s="90">
        <f t="shared" si="1"/>
        <v>0</v>
      </c>
      <c r="N13" s="90">
        <f t="shared" si="1"/>
        <v>0</v>
      </c>
    </row>
    <row r="14" spans="1:16" ht="15" customHeight="1" x14ac:dyDescent="0.55000000000000004">
      <c r="A14" s="86">
        <v>7</v>
      </c>
      <c r="B14" s="89" t="s">
        <v>437</v>
      </c>
      <c r="C14" s="90">
        <f>'2_Operating_Statement'!C35</f>
        <v>0</v>
      </c>
      <c r="D14" s="90">
        <f>'2_Operating_Statement'!D35</f>
        <v>0</v>
      </c>
      <c r="E14" s="90">
        <f>'2_Operating_Statement'!E35</f>
        <v>0</v>
      </c>
      <c r="F14" s="90">
        <f>'2_Operating_Statement'!F35</f>
        <v>0</v>
      </c>
      <c r="G14" s="90">
        <f>'2_Operating_Statement'!G35</f>
        <v>0</v>
      </c>
      <c r="H14" s="90">
        <f>'2_Operating_Statement'!H35</f>
        <v>0</v>
      </c>
      <c r="I14" s="90">
        <f>'2_Operating_Statement'!I35</f>
        <v>0</v>
      </c>
      <c r="J14" s="90">
        <f>'2_Operating_Statement'!J35</f>
        <v>0</v>
      </c>
      <c r="K14" s="90">
        <f>'2_Operating_Statement'!K35</f>
        <v>0</v>
      </c>
      <c r="L14" s="90">
        <f>'2_Operating_Statement'!L35</f>
        <v>0</v>
      </c>
      <c r="M14" s="90">
        <f>'2_Operating_Statement'!M35</f>
        <v>0</v>
      </c>
      <c r="N14" s="90">
        <f>'2_Operating_Statement'!N35</f>
        <v>0</v>
      </c>
    </row>
    <row r="15" spans="1:16" ht="15" customHeight="1" x14ac:dyDescent="0.55000000000000004">
      <c r="A15" s="86">
        <v>8</v>
      </c>
      <c r="B15" s="89" t="s">
        <v>438</v>
      </c>
      <c r="C15" s="90">
        <f t="shared" ref="C15:N15" si="2">C13+C14</f>
        <v>0</v>
      </c>
      <c r="D15" s="90">
        <f t="shared" si="2"/>
        <v>0</v>
      </c>
      <c r="E15" s="90">
        <f t="shared" si="2"/>
        <v>0</v>
      </c>
      <c r="F15" s="90">
        <f t="shared" si="2"/>
        <v>0</v>
      </c>
      <c r="G15" s="90">
        <f t="shared" si="2"/>
        <v>0</v>
      </c>
      <c r="H15" s="90">
        <f t="shared" si="2"/>
        <v>0</v>
      </c>
      <c r="I15" s="90">
        <f t="shared" si="2"/>
        <v>0</v>
      </c>
      <c r="J15" s="90">
        <f t="shared" si="2"/>
        <v>0</v>
      </c>
      <c r="K15" s="90">
        <f t="shared" si="2"/>
        <v>0</v>
      </c>
      <c r="L15" s="90">
        <f t="shared" si="2"/>
        <v>0</v>
      </c>
      <c r="M15" s="90">
        <f t="shared" si="2"/>
        <v>0</v>
      </c>
      <c r="N15" s="90">
        <f t="shared" si="2"/>
        <v>0</v>
      </c>
    </row>
    <row r="16" spans="1:16" ht="19.5" customHeight="1" x14ac:dyDescent="0.55000000000000004">
      <c r="A16" s="310" t="s">
        <v>439</v>
      </c>
      <c r="B16" s="310"/>
      <c r="C16" s="310"/>
      <c r="D16" s="310"/>
      <c r="E16" s="310"/>
      <c r="F16" s="310"/>
      <c r="G16" s="310"/>
      <c r="H16" s="310"/>
      <c r="I16" s="310"/>
      <c r="J16" s="310"/>
      <c r="K16" s="310"/>
      <c r="L16" s="310"/>
      <c r="M16" s="310"/>
      <c r="N16" s="310"/>
      <c r="O16" s="310"/>
      <c r="P16" s="310"/>
    </row>
    <row r="17" spans="1:16" ht="15" customHeight="1" x14ac:dyDescent="0.55000000000000004">
      <c r="A17" s="86">
        <v>9</v>
      </c>
      <c r="B17" s="89" t="s">
        <v>440</v>
      </c>
      <c r="C17" s="94">
        <f t="shared" ref="C17:N17" si="3">IFERROR((C9+C14)/(C13+C14),0)</f>
        <v>0</v>
      </c>
      <c r="D17" s="94">
        <f t="shared" si="3"/>
        <v>0</v>
      </c>
      <c r="E17" s="94">
        <f t="shared" si="3"/>
        <v>0</v>
      </c>
      <c r="F17" s="94">
        <f t="shared" si="3"/>
        <v>0</v>
      </c>
      <c r="G17" s="94">
        <f t="shared" si="3"/>
        <v>0</v>
      </c>
      <c r="H17" s="94">
        <f t="shared" si="3"/>
        <v>0</v>
      </c>
      <c r="I17" s="94">
        <f t="shared" si="3"/>
        <v>0</v>
      </c>
      <c r="J17" s="94">
        <f t="shared" si="3"/>
        <v>0</v>
      </c>
      <c r="K17" s="94">
        <f t="shared" si="3"/>
        <v>0</v>
      </c>
      <c r="L17" s="94">
        <f t="shared" si="3"/>
        <v>0</v>
      </c>
      <c r="M17" s="94">
        <f t="shared" si="3"/>
        <v>0</v>
      </c>
      <c r="N17" s="94">
        <f t="shared" si="3"/>
        <v>0</v>
      </c>
    </row>
    <row r="18" spans="1:16" ht="15" customHeight="1" x14ac:dyDescent="0.55000000000000004">
      <c r="A18" s="86">
        <v>10</v>
      </c>
      <c r="B18" s="89" t="s">
        <v>441</v>
      </c>
      <c r="C18" s="94">
        <f t="shared" ref="C18:N18" si="4">IFERROR(C9/C13,0)</f>
        <v>0</v>
      </c>
      <c r="D18" s="94">
        <f t="shared" si="4"/>
        <v>0</v>
      </c>
      <c r="E18" s="94">
        <f t="shared" si="4"/>
        <v>0</v>
      </c>
      <c r="F18" s="94">
        <f t="shared" si="4"/>
        <v>0</v>
      </c>
      <c r="G18" s="94">
        <f t="shared" si="4"/>
        <v>0</v>
      </c>
      <c r="H18" s="94">
        <f t="shared" si="4"/>
        <v>0</v>
      </c>
      <c r="I18" s="94">
        <f t="shared" si="4"/>
        <v>0</v>
      </c>
      <c r="J18" s="94">
        <f t="shared" si="4"/>
        <v>0</v>
      </c>
      <c r="K18" s="94">
        <f t="shared" si="4"/>
        <v>0</v>
      </c>
      <c r="L18" s="94">
        <f t="shared" si="4"/>
        <v>0</v>
      </c>
      <c r="M18" s="94">
        <f t="shared" si="4"/>
        <v>0</v>
      </c>
      <c r="N18" s="94">
        <f t="shared" si="4"/>
        <v>0</v>
      </c>
    </row>
    <row r="19" spans="1:16" ht="23.25" customHeight="1" x14ac:dyDescent="0.55000000000000004">
      <c r="A19" s="86">
        <v>11</v>
      </c>
      <c r="B19" s="95" t="s">
        <v>442</v>
      </c>
      <c r="C19" s="94">
        <f>IFERROR(AVERAGEIF(C13:N13,"&gt;0",C17:N17),0)</f>
        <v>0</v>
      </c>
      <c r="P19" s="96" t="str">
        <f>IF(C19&lt;MinDSCR_Avg,"⚠ Average DSCR "&amp;TEXT(C19,"0.00x")&amp;" below threshold of "&amp;TEXT(MinDSCR_Avg,"0.00x"),"✓ Average DSCR "&amp;TEXT(C19,"0.00x")&amp;" meets threshold")</f>
        <v>⚠ Average DSCR 0.00x below threshold of 1.50x</v>
      </c>
    </row>
    <row r="21" spans="1:16" ht="21.75" customHeight="1" x14ac:dyDescent="0.55000000000000004">
      <c r="A21" s="9" t="s">
        <v>443</v>
      </c>
      <c r="B21" s="9"/>
      <c r="C21" s="9"/>
      <c r="D21" s="9"/>
      <c r="E21" s="9"/>
      <c r="F21" s="9"/>
      <c r="G21" s="9"/>
      <c r="H21" s="9"/>
      <c r="I21" s="9"/>
      <c r="J21" s="9"/>
      <c r="K21" s="9"/>
      <c r="L21" s="9"/>
      <c r="M21" s="9"/>
      <c r="N21" s="9"/>
    </row>
    <row r="22" spans="1:16" ht="60" customHeight="1" x14ac:dyDescent="0.55000000000000004">
      <c r="A22" s="311" t="str">
        <f>IF(ProjectFinance="Yes","⚠ This is a Project Finance facility (Phase: "&amp;ProjectPhase&amp;"). "&amp;IF(ProjectPhase="Under-Construction","DSCR thresholds are SUPPRESSED during construction years. Greenfield projects generate zero cash flows pre-DCCO; apply DSCR covenant only from FY"&amp;IF(DCCO_Year="","[DCCO not set]",DCCO_Year)&amp;" onwards. Validate via Construction Period Interest moratorium and DSRA arrangement per RBI Project Finance Directions 2025.","Project is operational — standard DSCR covenants apply across all years."),"Standard corporate facility — DSCR covenants apply across all projection years per Setup thresholds.")</f>
        <v>Standard corporate facility — DSCR covenants apply across all projection years per Setup thresholds.</v>
      </c>
      <c r="B22" s="311"/>
      <c r="C22" s="311"/>
      <c r="D22" s="311"/>
      <c r="E22" s="311"/>
      <c r="F22" s="311"/>
      <c r="G22" s="311"/>
      <c r="H22" s="311"/>
      <c r="I22" s="311"/>
      <c r="J22" s="311"/>
      <c r="K22" s="311"/>
      <c r="L22" s="311"/>
      <c r="M22" s="311"/>
      <c r="N22" s="311"/>
    </row>
  </sheetData>
  <mergeCells count="7">
    <mergeCell ref="A21:N21"/>
    <mergeCell ref="A22:N22"/>
    <mergeCell ref="A1:P1"/>
    <mergeCell ref="A2:P2"/>
    <mergeCell ref="A6:P6"/>
    <mergeCell ref="A10:P10"/>
    <mergeCell ref="A16:P16"/>
  </mergeCells>
  <conditionalFormatting sqref="C4:C19">
    <cfRule type="expression" dxfId="88" priority="2">
      <formula>1&gt;TotalCols</formula>
    </cfRule>
  </conditionalFormatting>
  <conditionalFormatting sqref="D4:D19">
    <cfRule type="expression" dxfId="87" priority="3">
      <formula>2&gt;TotalCols</formula>
    </cfRule>
  </conditionalFormatting>
  <conditionalFormatting sqref="E4:E19">
    <cfRule type="expression" dxfId="86" priority="4">
      <formula>3&gt;TotalCols</formula>
    </cfRule>
  </conditionalFormatting>
  <conditionalFormatting sqref="F4:F19">
    <cfRule type="expression" dxfId="85" priority="5">
      <formula>4&gt;TotalCols</formula>
    </cfRule>
  </conditionalFormatting>
  <conditionalFormatting sqref="G4:G19">
    <cfRule type="expression" dxfId="84" priority="6">
      <formula>5&gt;TotalCols</formula>
    </cfRule>
  </conditionalFormatting>
  <conditionalFormatting sqref="H4:H19">
    <cfRule type="expression" dxfId="83" priority="7">
      <formula>6&gt;TotalCols</formula>
    </cfRule>
  </conditionalFormatting>
  <conditionalFormatting sqref="I4:I19">
    <cfRule type="expression" dxfId="82" priority="8">
      <formula>7&gt;TotalCols</formula>
    </cfRule>
  </conditionalFormatting>
  <conditionalFormatting sqref="J4:J19">
    <cfRule type="expression" dxfId="81" priority="9">
      <formula>8&gt;TotalCols</formula>
    </cfRule>
  </conditionalFormatting>
  <conditionalFormatting sqref="K4:K19">
    <cfRule type="expression" dxfId="80" priority="10">
      <formula>9&gt;TotalCols</formula>
    </cfRule>
  </conditionalFormatting>
  <conditionalFormatting sqref="L4:L19">
    <cfRule type="expression" dxfId="79" priority="11">
      <formula>10&gt;TotalCols</formula>
    </cfRule>
  </conditionalFormatting>
  <conditionalFormatting sqref="M4:M19">
    <cfRule type="expression" dxfId="78" priority="12">
      <formula>11&gt;TotalCols</formula>
    </cfRule>
  </conditionalFormatting>
  <conditionalFormatting sqref="N4:N19">
    <cfRule type="expression" dxfId="77" priority="13">
      <formula>12&gt;TotalCols</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P34"/>
  <sheetViews>
    <sheetView zoomScaleNormal="100" workbookViewId="0"/>
  </sheetViews>
  <sheetFormatPr defaultColWidth="8.68359375" defaultRowHeight="14.4" x14ac:dyDescent="0.55000000000000004"/>
  <cols>
    <col min="1" max="1" width="6" customWidth="1"/>
    <col min="2" max="2" width="50" customWidth="1"/>
    <col min="3" max="15" width="12" customWidth="1"/>
    <col min="16" max="16" width="35" customWidth="1"/>
  </cols>
  <sheetData>
    <row r="1" spans="1:16" ht="24" customHeight="1" x14ac:dyDescent="0.55000000000000004">
      <c r="A1" s="294" t="str">
        <f>CONCATENATE("HOLDING LEVELS  |  ", BorrowerName)</f>
        <v xml:space="preserve">HOLDING LEVELS  |  </v>
      </c>
      <c r="B1" s="294"/>
      <c r="C1" s="294"/>
      <c r="D1" s="294"/>
      <c r="E1" s="294"/>
      <c r="F1" s="294"/>
      <c r="G1" s="294"/>
      <c r="H1" s="294"/>
      <c r="I1" s="294"/>
      <c r="J1" s="294"/>
      <c r="K1" s="294"/>
      <c r="L1" s="294"/>
      <c r="M1" s="294"/>
      <c r="N1" s="294"/>
      <c r="O1" s="294"/>
      <c r="P1" s="294"/>
    </row>
    <row r="2" spans="1:16" ht="15" customHeight="1" x14ac:dyDescent="0.55000000000000004">
      <c r="A2" s="295" t="s">
        <v>444</v>
      </c>
      <c r="B2" s="295"/>
      <c r="C2" s="295"/>
      <c r="D2" s="295"/>
      <c r="E2" s="295"/>
      <c r="F2" s="295"/>
      <c r="G2" s="295"/>
      <c r="H2" s="295"/>
      <c r="I2" s="295"/>
      <c r="J2" s="295"/>
      <c r="K2" s="295"/>
      <c r="L2" s="295"/>
      <c r="M2" s="295"/>
      <c r="N2" s="295"/>
      <c r="O2" s="295"/>
      <c r="P2" s="295"/>
    </row>
    <row r="3" spans="1:16" ht="30" customHeight="1" x14ac:dyDescent="0.55000000000000004">
      <c r="A3" s="79" t="s">
        <v>251</v>
      </c>
      <c r="B3" s="79" t="s">
        <v>252</v>
      </c>
      <c r="C3" s="80" t="s">
        <v>253</v>
      </c>
      <c r="D3" s="80" t="s">
        <v>254</v>
      </c>
      <c r="E3" s="80" t="s">
        <v>255</v>
      </c>
      <c r="F3" s="80" t="s">
        <v>256</v>
      </c>
      <c r="G3" s="80" t="s">
        <v>257</v>
      </c>
      <c r="H3" s="80" t="s">
        <v>258</v>
      </c>
      <c r="I3" s="80" t="s">
        <v>259</v>
      </c>
      <c r="J3" s="80" t="s">
        <v>260</v>
      </c>
      <c r="K3" s="80" t="s">
        <v>261</v>
      </c>
      <c r="L3" s="80" t="s">
        <v>262</v>
      </c>
      <c r="M3" s="80" t="s">
        <v>263</v>
      </c>
      <c r="N3" s="80" t="s">
        <v>264</v>
      </c>
      <c r="O3" s="81" t="s">
        <v>265</v>
      </c>
      <c r="P3" s="81" t="s">
        <v>266</v>
      </c>
    </row>
    <row r="4" spans="1:16" ht="18"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5" spans="1:16" ht="15" customHeight="1" x14ac:dyDescent="0.55000000000000004">
      <c r="B5" s="84" t="s">
        <v>268</v>
      </c>
      <c r="C5" s="85" t="str">
        <f>INDEX('0_Setup'!$C$48:$C$59,1)</f>
        <v>Audited</v>
      </c>
      <c r="D5" s="85" t="str">
        <f>INDEX('0_Setup'!$C$48:$C$59,2)</f>
        <v>Audited</v>
      </c>
      <c r="E5" s="85" t="str">
        <f>INDEX('0_Setup'!$C$48:$C$59,3)</f>
        <v>Estimated</v>
      </c>
      <c r="F5" s="85" t="str">
        <f>INDEX('0_Setup'!$C$48:$C$59,4)</f>
        <v>Audited/Provisional</v>
      </c>
      <c r="G5" s="85" t="str">
        <f>INDEX('0_Setup'!$C$48:$C$59,5)</f>
        <v>Estimated</v>
      </c>
      <c r="H5" s="85" t="str">
        <f>INDEX('0_Setup'!$C$48:$C$59,6)</f>
        <v>Projected</v>
      </c>
      <c r="I5" s="85" t="str">
        <f>INDEX('0_Setup'!$C$48:$C$59,7)</f>
        <v>Projected</v>
      </c>
      <c r="J5" s="85" t="str">
        <f>INDEX('0_Setup'!$C$48:$C$59,8)</f>
        <v>Projected</v>
      </c>
      <c r="K5" s="85" t="str">
        <f>INDEX('0_Setup'!$C$48:$C$59,9)</f>
        <v>Projected</v>
      </c>
      <c r="L5" s="85" t="str">
        <f>INDEX('0_Setup'!$C$48:$C$59,10)</f>
        <v/>
      </c>
      <c r="M5" s="85" t="str">
        <f>INDEX('0_Setup'!$C$48:$C$59,11)</f>
        <v/>
      </c>
      <c r="N5" s="85" t="str">
        <f>INDEX('0_Setup'!$C$48:$C$59,12)</f>
        <v/>
      </c>
    </row>
    <row r="6" spans="1:16" ht="19.5" customHeight="1" x14ac:dyDescent="0.55000000000000004">
      <c r="A6" s="310" t="s">
        <v>445</v>
      </c>
      <c r="B6" s="310"/>
      <c r="C6" s="310"/>
      <c r="D6" s="310"/>
      <c r="E6" s="310"/>
      <c r="F6" s="310"/>
      <c r="G6" s="310"/>
      <c r="H6" s="310"/>
      <c r="I6" s="310"/>
      <c r="J6" s="310"/>
      <c r="K6" s="310"/>
      <c r="L6" s="310"/>
      <c r="M6" s="310"/>
      <c r="N6" s="310"/>
      <c r="O6" s="310"/>
      <c r="P6" s="310"/>
    </row>
    <row r="7" spans="1:16" ht="15" customHeight="1" x14ac:dyDescent="0.55000000000000004">
      <c r="A7" s="86">
        <v>1</v>
      </c>
      <c r="B7" s="87" t="s">
        <v>446</v>
      </c>
      <c r="C7" s="97">
        <f>'3_Balance_Sheet'!C65</f>
        <v>0</v>
      </c>
      <c r="D7" s="97">
        <f>'3_Balance_Sheet'!D65</f>
        <v>0</v>
      </c>
      <c r="E7" s="97">
        <f>'3_Balance_Sheet'!E65</f>
        <v>0</v>
      </c>
      <c r="F7" s="97">
        <f>'3_Balance_Sheet'!F65</f>
        <v>0</v>
      </c>
      <c r="G7" s="97">
        <f>'3_Balance_Sheet'!G65</f>
        <v>0</v>
      </c>
      <c r="H7" s="97">
        <f>'3_Balance_Sheet'!H65</f>
        <v>0</v>
      </c>
      <c r="I7" s="97">
        <f>'3_Balance_Sheet'!I65</f>
        <v>0</v>
      </c>
      <c r="J7" s="97">
        <f>'3_Balance_Sheet'!J65</f>
        <v>0</v>
      </c>
      <c r="K7" s="97">
        <f>'3_Balance_Sheet'!K65</f>
        <v>0</v>
      </c>
      <c r="L7" s="97">
        <f>'3_Balance_Sheet'!L65</f>
        <v>0</v>
      </c>
      <c r="M7" s="97">
        <f>'3_Balance_Sheet'!M65</f>
        <v>0</v>
      </c>
      <c r="N7" s="97">
        <f>'3_Balance_Sheet'!N65</f>
        <v>0</v>
      </c>
    </row>
    <row r="8" spans="1:16" ht="15" customHeight="1" x14ac:dyDescent="0.55000000000000004">
      <c r="A8" s="86">
        <v>2</v>
      </c>
      <c r="B8" s="87" t="s">
        <v>447</v>
      </c>
      <c r="C8" s="98">
        <f>IFERROR(C7*12/'2_Operating_Statement'!C15,0)</f>
        <v>0</v>
      </c>
      <c r="D8" s="98">
        <f>IFERROR(D7*12/'2_Operating_Statement'!D15,0)</f>
        <v>0</v>
      </c>
      <c r="E8" s="98">
        <f>IFERROR(E7*12/'2_Operating_Statement'!E15,0)</f>
        <v>0</v>
      </c>
      <c r="F8" s="98">
        <f>IFERROR(F7*12/'2_Operating_Statement'!F15,0)</f>
        <v>0</v>
      </c>
      <c r="G8" s="98">
        <f>IFERROR(G7*12/'2_Operating_Statement'!G15,0)</f>
        <v>0</v>
      </c>
      <c r="H8" s="98">
        <f>IFERROR(H7*12/'2_Operating_Statement'!H15,0)</f>
        <v>0</v>
      </c>
      <c r="I8" s="98">
        <f>IFERROR(I7*12/'2_Operating_Statement'!I15,0)</f>
        <v>0</v>
      </c>
      <c r="J8" s="98">
        <f>IFERROR(J7*12/'2_Operating_Statement'!J15,0)</f>
        <v>0</v>
      </c>
      <c r="K8" s="98">
        <f>IFERROR(K7*12/'2_Operating_Statement'!K15,0)</f>
        <v>0</v>
      </c>
      <c r="L8" s="98">
        <f>IFERROR(L7*12/'2_Operating_Statement'!L15,0)</f>
        <v>0</v>
      </c>
      <c r="M8" s="98">
        <f>IFERROR(M7*12/'2_Operating_Statement'!M15,0)</f>
        <v>0</v>
      </c>
      <c r="N8" s="98">
        <f>IFERROR(N7*12/'2_Operating_Statement'!N15,0)</f>
        <v>0</v>
      </c>
    </row>
    <row r="9" spans="1:16" ht="15" customHeight="1" x14ac:dyDescent="0.55000000000000004">
      <c r="A9" s="86">
        <v>3</v>
      </c>
      <c r="B9" s="87" t="s">
        <v>448</v>
      </c>
      <c r="C9" s="97">
        <f>'3_Balance_Sheet'!C66</f>
        <v>0</v>
      </c>
      <c r="D9" s="97">
        <f>'3_Balance_Sheet'!D66</f>
        <v>0</v>
      </c>
      <c r="E9" s="97">
        <f>'3_Balance_Sheet'!E66</f>
        <v>0</v>
      </c>
      <c r="F9" s="97">
        <f>'3_Balance_Sheet'!F66</f>
        <v>0</v>
      </c>
      <c r="G9" s="97">
        <f>'3_Balance_Sheet'!G66</f>
        <v>0</v>
      </c>
      <c r="H9" s="97">
        <f>'3_Balance_Sheet'!H66</f>
        <v>0</v>
      </c>
      <c r="I9" s="97">
        <f>'3_Balance_Sheet'!I66</f>
        <v>0</v>
      </c>
      <c r="J9" s="97">
        <f>'3_Balance_Sheet'!J66</f>
        <v>0</v>
      </c>
      <c r="K9" s="97">
        <f>'3_Balance_Sheet'!K66</f>
        <v>0</v>
      </c>
      <c r="L9" s="97">
        <f>'3_Balance_Sheet'!L66</f>
        <v>0</v>
      </c>
      <c r="M9" s="97">
        <f>'3_Balance_Sheet'!M66</f>
        <v>0</v>
      </c>
      <c r="N9" s="97">
        <f>'3_Balance_Sheet'!N66</f>
        <v>0</v>
      </c>
    </row>
    <row r="10" spans="1:16" ht="15" customHeight="1" x14ac:dyDescent="0.55000000000000004">
      <c r="A10" s="86">
        <v>4</v>
      </c>
      <c r="B10" s="87" t="s">
        <v>449</v>
      </c>
      <c r="C10" s="98">
        <f>IFERROR(C9*12/'2_Operating_Statement'!C16,0)</f>
        <v>0</v>
      </c>
      <c r="D10" s="98">
        <f>IFERROR(D9*12/'2_Operating_Statement'!D16,0)</f>
        <v>0</v>
      </c>
      <c r="E10" s="98">
        <f>IFERROR(E9*12/'2_Operating_Statement'!E16,0)</f>
        <v>0</v>
      </c>
      <c r="F10" s="98">
        <f>IFERROR(F9*12/'2_Operating_Statement'!F16,0)</f>
        <v>0</v>
      </c>
      <c r="G10" s="98">
        <f>IFERROR(G9*12/'2_Operating_Statement'!G16,0)</f>
        <v>0</v>
      </c>
      <c r="H10" s="98">
        <f>IFERROR(H9*12/'2_Operating_Statement'!H16,0)</f>
        <v>0</v>
      </c>
      <c r="I10" s="98">
        <f>IFERROR(I9*12/'2_Operating_Statement'!I16,0)</f>
        <v>0</v>
      </c>
      <c r="J10" s="98">
        <f>IFERROR(J9*12/'2_Operating_Statement'!J16,0)</f>
        <v>0</v>
      </c>
      <c r="K10" s="98">
        <f>IFERROR(K9*12/'2_Operating_Statement'!K16,0)</f>
        <v>0</v>
      </c>
      <c r="L10" s="98">
        <f>IFERROR(L9*12/'2_Operating_Statement'!L16,0)</f>
        <v>0</v>
      </c>
      <c r="M10" s="98">
        <f>IFERROR(M9*12/'2_Operating_Statement'!M16,0)</f>
        <v>0</v>
      </c>
      <c r="N10" s="98">
        <f>IFERROR(N9*12/'2_Operating_Statement'!N16,0)</f>
        <v>0</v>
      </c>
    </row>
    <row r="11" spans="1:16" ht="19.5" customHeight="1" x14ac:dyDescent="0.55000000000000004">
      <c r="A11" s="310" t="s">
        <v>450</v>
      </c>
      <c r="B11" s="310"/>
      <c r="C11" s="310"/>
      <c r="D11" s="310"/>
      <c r="E11" s="310"/>
      <c r="F11" s="310"/>
      <c r="G11" s="310"/>
      <c r="H11" s="310"/>
      <c r="I11" s="310"/>
      <c r="J11" s="310"/>
      <c r="K11" s="310"/>
      <c r="L11" s="310"/>
      <c r="M11" s="310"/>
      <c r="N11" s="310"/>
      <c r="O11" s="310"/>
      <c r="P11" s="310"/>
    </row>
    <row r="12" spans="1:16" ht="15" customHeight="1" x14ac:dyDescent="0.55000000000000004">
      <c r="A12" s="86">
        <v>5</v>
      </c>
      <c r="B12" s="87" t="s">
        <v>451</v>
      </c>
      <c r="C12" s="88"/>
      <c r="D12" s="88"/>
      <c r="E12" s="88"/>
      <c r="F12" s="88"/>
      <c r="G12" s="88"/>
      <c r="H12" s="88"/>
      <c r="I12" s="88"/>
      <c r="J12" s="88"/>
      <c r="K12" s="88"/>
      <c r="L12" s="88"/>
      <c r="M12" s="88"/>
      <c r="N12" s="88"/>
    </row>
    <row r="13" spans="1:16" ht="15" customHeight="1" x14ac:dyDescent="0.55000000000000004">
      <c r="A13" s="86">
        <v>6</v>
      </c>
      <c r="B13" s="87" t="s">
        <v>452</v>
      </c>
      <c r="C13" s="98">
        <f>IFERROR(C12*12/'2_Operating_Statement'!C18,0)</f>
        <v>0</v>
      </c>
      <c r="D13" s="98">
        <f>IFERROR(D12*12/'2_Operating_Statement'!D18,0)</f>
        <v>0</v>
      </c>
      <c r="E13" s="98">
        <f>IFERROR(E12*12/'2_Operating_Statement'!E18,0)</f>
        <v>0</v>
      </c>
      <c r="F13" s="98">
        <f>IFERROR(F12*12/'2_Operating_Statement'!F18,0)</f>
        <v>0</v>
      </c>
      <c r="G13" s="98">
        <f>IFERROR(G12*12/'2_Operating_Statement'!G18,0)</f>
        <v>0</v>
      </c>
      <c r="H13" s="98">
        <f>IFERROR(H12*12/'2_Operating_Statement'!H18,0)</f>
        <v>0</v>
      </c>
      <c r="I13" s="98">
        <f>IFERROR(I12*12/'2_Operating_Statement'!I18,0)</f>
        <v>0</v>
      </c>
      <c r="J13" s="98">
        <f>IFERROR(J12*12/'2_Operating_Statement'!J18,0)</f>
        <v>0</v>
      </c>
      <c r="K13" s="98">
        <f>IFERROR(K12*12/'2_Operating_Statement'!K18,0)</f>
        <v>0</v>
      </c>
      <c r="L13" s="98">
        <f>IFERROR(L12*12/'2_Operating_Statement'!L18,0)</f>
        <v>0</v>
      </c>
      <c r="M13" s="98">
        <f>IFERROR(M12*12/'2_Operating_Statement'!M18,0)</f>
        <v>0</v>
      </c>
      <c r="N13" s="98">
        <f>IFERROR(N12*12/'2_Operating_Statement'!N18,0)</f>
        <v>0</v>
      </c>
    </row>
    <row r="14" spans="1:16" ht="15" customHeight="1" x14ac:dyDescent="0.55000000000000004">
      <c r="A14" s="86">
        <v>7</v>
      </c>
      <c r="B14" s="87" t="s">
        <v>453</v>
      </c>
      <c r="C14" s="88"/>
      <c r="D14" s="88"/>
      <c r="E14" s="88"/>
      <c r="F14" s="88"/>
      <c r="G14" s="88"/>
      <c r="H14" s="88"/>
      <c r="I14" s="88"/>
      <c r="J14" s="88"/>
      <c r="K14" s="88"/>
      <c r="L14" s="88"/>
      <c r="M14" s="88"/>
      <c r="N14" s="88"/>
    </row>
    <row r="15" spans="1:16" ht="15" customHeight="1" x14ac:dyDescent="0.55000000000000004">
      <c r="A15" s="86">
        <v>8</v>
      </c>
      <c r="B15" s="87" t="s">
        <v>454</v>
      </c>
      <c r="C15" s="98">
        <f>IFERROR(C14*12/'2_Operating_Statement'!C19,0)</f>
        <v>0</v>
      </c>
      <c r="D15" s="98">
        <f>IFERROR(D14*12/'2_Operating_Statement'!D19,0)</f>
        <v>0</v>
      </c>
      <c r="E15" s="98">
        <f>IFERROR(E14*12/'2_Operating_Statement'!E19,0)</f>
        <v>0</v>
      </c>
      <c r="F15" s="98">
        <f>IFERROR(F14*12/'2_Operating_Statement'!F19,0)</f>
        <v>0</v>
      </c>
      <c r="G15" s="98">
        <f>IFERROR(G14*12/'2_Operating_Statement'!G19,0)</f>
        <v>0</v>
      </c>
      <c r="H15" s="98">
        <f>IFERROR(H14*12/'2_Operating_Statement'!H19,0)</f>
        <v>0</v>
      </c>
      <c r="I15" s="98">
        <f>IFERROR(I14*12/'2_Operating_Statement'!I19,0)</f>
        <v>0</v>
      </c>
      <c r="J15" s="98">
        <f>IFERROR(J14*12/'2_Operating_Statement'!J19,0)</f>
        <v>0</v>
      </c>
      <c r="K15" s="98">
        <f>IFERROR(K14*12/'2_Operating_Statement'!K19,0)</f>
        <v>0</v>
      </c>
      <c r="L15" s="98">
        <f>IFERROR(L14*12/'2_Operating_Statement'!L19,0)</f>
        <v>0</v>
      </c>
      <c r="M15" s="98">
        <f>IFERROR(M14*12/'2_Operating_Statement'!M19,0)</f>
        <v>0</v>
      </c>
      <c r="N15" s="98">
        <f>IFERROR(N14*12/'2_Operating_Statement'!N19,0)</f>
        <v>0</v>
      </c>
    </row>
    <row r="16" spans="1:16" ht="19.5" customHeight="1" x14ac:dyDescent="0.55000000000000004">
      <c r="A16" s="310" t="s">
        <v>455</v>
      </c>
      <c r="B16" s="310"/>
      <c r="C16" s="310"/>
      <c r="D16" s="310"/>
      <c r="E16" s="310"/>
      <c r="F16" s="310"/>
      <c r="G16" s="310"/>
      <c r="H16" s="310"/>
      <c r="I16" s="310"/>
      <c r="J16" s="310"/>
      <c r="K16" s="310"/>
      <c r="L16" s="310"/>
      <c r="M16" s="310"/>
      <c r="N16" s="310"/>
      <c r="O16" s="310"/>
      <c r="P16" s="310"/>
    </row>
    <row r="17" spans="1:16" ht="15" customHeight="1" x14ac:dyDescent="0.55000000000000004">
      <c r="A17" s="86">
        <v>9</v>
      </c>
      <c r="B17" s="87" t="s">
        <v>456</v>
      </c>
      <c r="C17" s="97">
        <f>'3_Balance_Sheet'!C68</f>
        <v>0</v>
      </c>
      <c r="D17" s="97">
        <f>'3_Balance_Sheet'!D68</f>
        <v>0</v>
      </c>
      <c r="E17" s="97">
        <f>'3_Balance_Sheet'!E68</f>
        <v>0</v>
      </c>
      <c r="F17" s="97">
        <f>'3_Balance_Sheet'!F68</f>
        <v>0</v>
      </c>
      <c r="G17" s="97">
        <f>'3_Balance_Sheet'!G68</f>
        <v>0</v>
      </c>
      <c r="H17" s="97">
        <f>'3_Balance_Sheet'!H68</f>
        <v>0</v>
      </c>
      <c r="I17" s="97">
        <f>'3_Balance_Sheet'!I68</f>
        <v>0</v>
      </c>
      <c r="J17" s="97">
        <f>'3_Balance_Sheet'!J68</f>
        <v>0</v>
      </c>
      <c r="K17" s="97">
        <f>'3_Balance_Sheet'!K68</f>
        <v>0</v>
      </c>
      <c r="L17" s="97">
        <f>'3_Balance_Sheet'!L68</f>
        <v>0</v>
      </c>
      <c r="M17" s="97">
        <f>'3_Balance_Sheet'!M68</f>
        <v>0</v>
      </c>
      <c r="N17" s="97">
        <f>'3_Balance_Sheet'!N68</f>
        <v>0</v>
      </c>
    </row>
    <row r="18" spans="1:16" ht="15" customHeight="1" x14ac:dyDescent="0.55000000000000004">
      <c r="A18" s="86">
        <v>10</v>
      </c>
      <c r="B18" s="87" t="s">
        <v>457</v>
      </c>
      <c r="C18" s="98">
        <f>IFERROR(C17*12/'2_Operating_Statement'!C27,0)</f>
        <v>0</v>
      </c>
      <c r="D18" s="98">
        <f>IFERROR(D17*12/'2_Operating_Statement'!D27,0)</f>
        <v>0</v>
      </c>
      <c r="E18" s="98">
        <f>IFERROR(E17*12/'2_Operating_Statement'!E27,0)</f>
        <v>0</v>
      </c>
      <c r="F18" s="98">
        <f>IFERROR(F17*12/'2_Operating_Statement'!F27,0)</f>
        <v>0</v>
      </c>
      <c r="G18" s="98">
        <f>IFERROR(G17*12/'2_Operating_Statement'!G27,0)</f>
        <v>0</v>
      </c>
      <c r="H18" s="98">
        <f>IFERROR(H17*12/'2_Operating_Statement'!H27,0)</f>
        <v>0</v>
      </c>
      <c r="I18" s="98">
        <f>IFERROR(I17*12/'2_Operating_Statement'!I27,0)</f>
        <v>0</v>
      </c>
      <c r="J18" s="98">
        <f>IFERROR(J17*12/'2_Operating_Statement'!J27,0)</f>
        <v>0</v>
      </c>
      <c r="K18" s="98">
        <f>IFERROR(K17*12/'2_Operating_Statement'!K27,0)</f>
        <v>0</v>
      </c>
      <c r="L18" s="98">
        <f>IFERROR(L17*12/'2_Operating_Statement'!L27,0)</f>
        <v>0</v>
      </c>
      <c r="M18" s="98">
        <f>IFERROR(M17*12/'2_Operating_Statement'!M27,0)</f>
        <v>0</v>
      </c>
      <c r="N18" s="98">
        <f>IFERROR(N17*12/'2_Operating_Statement'!N27,0)</f>
        <v>0</v>
      </c>
    </row>
    <row r="19" spans="1:16" ht="15" customHeight="1" x14ac:dyDescent="0.55000000000000004">
      <c r="A19" s="86">
        <v>11</v>
      </c>
      <c r="B19" s="87" t="s">
        <v>458</v>
      </c>
      <c r="C19" s="97">
        <f>'3_Balance_Sheet'!C69</f>
        <v>0</v>
      </c>
      <c r="D19" s="97">
        <f>'3_Balance_Sheet'!D69</f>
        <v>0</v>
      </c>
      <c r="E19" s="97">
        <f>'3_Balance_Sheet'!E69</f>
        <v>0</v>
      </c>
      <c r="F19" s="97">
        <f>'3_Balance_Sheet'!F69</f>
        <v>0</v>
      </c>
      <c r="G19" s="97">
        <f>'3_Balance_Sheet'!G69</f>
        <v>0</v>
      </c>
      <c r="H19" s="97">
        <f>'3_Balance_Sheet'!H69</f>
        <v>0</v>
      </c>
      <c r="I19" s="97">
        <f>'3_Balance_Sheet'!I69</f>
        <v>0</v>
      </c>
      <c r="J19" s="97">
        <f>'3_Balance_Sheet'!J69</f>
        <v>0</v>
      </c>
      <c r="K19" s="97">
        <f>'3_Balance_Sheet'!K69</f>
        <v>0</v>
      </c>
      <c r="L19" s="97">
        <f>'3_Balance_Sheet'!L69</f>
        <v>0</v>
      </c>
      <c r="M19" s="97">
        <f>'3_Balance_Sheet'!M69</f>
        <v>0</v>
      </c>
      <c r="N19" s="97">
        <f>'3_Balance_Sheet'!N69</f>
        <v>0</v>
      </c>
    </row>
    <row r="20" spans="1:16" ht="15" customHeight="1" x14ac:dyDescent="0.55000000000000004">
      <c r="A20" s="86">
        <v>12</v>
      </c>
      <c r="B20" s="87" t="s">
        <v>459</v>
      </c>
      <c r="C20" s="98">
        <f>IFERROR(C19*12/'2_Operating_Statement'!C30,0)</f>
        <v>0</v>
      </c>
      <c r="D20" s="98">
        <f>IFERROR(D19*12/'2_Operating_Statement'!D30,0)</f>
        <v>0</v>
      </c>
      <c r="E20" s="98">
        <f>IFERROR(E19*12/'2_Operating_Statement'!E30,0)</f>
        <v>0</v>
      </c>
      <c r="F20" s="98">
        <f>IFERROR(F19*12/'2_Operating_Statement'!F30,0)</f>
        <v>0</v>
      </c>
      <c r="G20" s="98">
        <f>IFERROR(G19*12/'2_Operating_Statement'!G30,0)</f>
        <v>0</v>
      </c>
      <c r="H20" s="98">
        <f>IFERROR(H19*12/'2_Operating_Statement'!H30,0)</f>
        <v>0</v>
      </c>
      <c r="I20" s="98">
        <f>IFERROR(I19*12/'2_Operating_Statement'!I30,0)</f>
        <v>0</v>
      </c>
      <c r="J20" s="98">
        <f>IFERROR(J19*12/'2_Operating_Statement'!J30,0)</f>
        <v>0</v>
      </c>
      <c r="K20" s="98">
        <f>IFERROR(K19*12/'2_Operating_Statement'!K30,0)</f>
        <v>0</v>
      </c>
      <c r="L20" s="98">
        <f>IFERROR(L19*12/'2_Operating_Statement'!L30,0)</f>
        <v>0</v>
      </c>
      <c r="M20" s="98">
        <f>IFERROR(M19*12/'2_Operating_Statement'!M30,0)</f>
        <v>0</v>
      </c>
      <c r="N20" s="98">
        <f>IFERROR(N19*12/'2_Operating_Statement'!N30,0)</f>
        <v>0</v>
      </c>
    </row>
    <row r="21" spans="1:16" ht="19.5" customHeight="1" x14ac:dyDescent="0.55000000000000004">
      <c r="A21" s="310" t="s">
        <v>460</v>
      </c>
      <c r="B21" s="310"/>
      <c r="C21" s="310"/>
      <c r="D21" s="310"/>
      <c r="E21" s="310"/>
      <c r="F21" s="310"/>
      <c r="G21" s="310"/>
      <c r="H21" s="310"/>
      <c r="I21" s="310"/>
      <c r="J21" s="310"/>
      <c r="K21" s="310"/>
      <c r="L21" s="310"/>
      <c r="M21" s="310"/>
      <c r="N21" s="310"/>
      <c r="O21" s="310"/>
      <c r="P21" s="310"/>
    </row>
    <row r="22" spans="1:16" ht="15" customHeight="1" x14ac:dyDescent="0.55000000000000004">
      <c r="A22" s="86">
        <v>13</v>
      </c>
      <c r="B22" s="87" t="s">
        <v>461</v>
      </c>
      <c r="C22" s="97">
        <f>'3_Balance_Sheet'!C59</f>
        <v>0</v>
      </c>
      <c r="D22" s="97">
        <f>'3_Balance_Sheet'!D59</f>
        <v>0</v>
      </c>
      <c r="E22" s="97">
        <f>'3_Balance_Sheet'!E59</f>
        <v>0</v>
      </c>
      <c r="F22" s="97">
        <f>'3_Balance_Sheet'!F59</f>
        <v>0</v>
      </c>
      <c r="G22" s="97">
        <f>'3_Balance_Sheet'!G59</f>
        <v>0</v>
      </c>
      <c r="H22" s="97">
        <f>'3_Balance_Sheet'!H59</f>
        <v>0</v>
      </c>
      <c r="I22" s="97">
        <f>'3_Balance_Sheet'!I59</f>
        <v>0</v>
      </c>
      <c r="J22" s="97">
        <f>'3_Balance_Sheet'!J59</f>
        <v>0</v>
      </c>
      <c r="K22" s="97">
        <f>'3_Balance_Sheet'!K59</f>
        <v>0</v>
      </c>
      <c r="L22" s="97">
        <f>'3_Balance_Sheet'!L59</f>
        <v>0</v>
      </c>
      <c r="M22" s="97">
        <f>'3_Balance_Sheet'!M59</f>
        <v>0</v>
      </c>
      <c r="N22" s="97">
        <f>'3_Balance_Sheet'!N59</f>
        <v>0</v>
      </c>
    </row>
    <row r="23" spans="1:16" ht="15" customHeight="1" x14ac:dyDescent="0.55000000000000004">
      <c r="A23" s="86">
        <v>14</v>
      </c>
      <c r="B23" s="87" t="s">
        <v>462</v>
      </c>
      <c r="C23" s="98">
        <f>IFERROR(C22*12/'2_Operating_Statement'!C7,0)</f>
        <v>0</v>
      </c>
      <c r="D23" s="98">
        <f>IFERROR(D22*12/'2_Operating_Statement'!D7,0)</f>
        <v>0</v>
      </c>
      <c r="E23" s="98">
        <f>IFERROR(E22*12/'2_Operating_Statement'!E7,0)</f>
        <v>0</v>
      </c>
      <c r="F23" s="98">
        <f>IFERROR(F22*12/'2_Operating_Statement'!F7,0)</f>
        <v>0</v>
      </c>
      <c r="G23" s="98">
        <f>IFERROR(G22*12/'2_Operating_Statement'!G7,0)</f>
        <v>0</v>
      </c>
      <c r="H23" s="98">
        <f>IFERROR(H22*12/'2_Operating_Statement'!H7,0)</f>
        <v>0</v>
      </c>
      <c r="I23" s="98">
        <f>IFERROR(I22*12/'2_Operating_Statement'!I7,0)</f>
        <v>0</v>
      </c>
      <c r="J23" s="98">
        <f>IFERROR(J22*12/'2_Operating_Statement'!J7,0)</f>
        <v>0</v>
      </c>
      <c r="K23" s="98">
        <f>IFERROR(K22*12/'2_Operating_Statement'!K7,0)</f>
        <v>0</v>
      </c>
      <c r="L23" s="98">
        <f>IFERROR(L22*12/'2_Operating_Statement'!L7,0)</f>
        <v>0</v>
      </c>
      <c r="M23" s="98">
        <f>IFERROR(M22*12/'2_Operating_Statement'!M7,0)</f>
        <v>0</v>
      </c>
      <c r="N23" s="98">
        <f>IFERROR(N22*12/'2_Operating_Statement'!N7,0)</f>
        <v>0</v>
      </c>
    </row>
    <row r="24" spans="1:16" ht="15" customHeight="1" x14ac:dyDescent="0.55000000000000004">
      <c r="A24" s="86">
        <v>15</v>
      </c>
      <c r="B24" s="87" t="s">
        <v>463</v>
      </c>
      <c r="C24" s="97">
        <f>'3_Balance_Sheet'!C60</f>
        <v>0</v>
      </c>
      <c r="D24" s="97">
        <f>'3_Balance_Sheet'!D60</f>
        <v>0</v>
      </c>
      <c r="E24" s="97">
        <f>'3_Balance_Sheet'!E60</f>
        <v>0</v>
      </c>
      <c r="F24" s="97">
        <f>'3_Balance_Sheet'!F60</f>
        <v>0</v>
      </c>
      <c r="G24" s="97">
        <f>'3_Balance_Sheet'!G60</f>
        <v>0</v>
      </c>
      <c r="H24" s="97">
        <f>'3_Balance_Sheet'!H60</f>
        <v>0</v>
      </c>
      <c r="I24" s="97">
        <f>'3_Balance_Sheet'!I60</f>
        <v>0</v>
      </c>
      <c r="J24" s="97">
        <f>'3_Balance_Sheet'!J60</f>
        <v>0</v>
      </c>
      <c r="K24" s="97">
        <f>'3_Balance_Sheet'!K60</f>
        <v>0</v>
      </c>
      <c r="L24" s="97">
        <f>'3_Balance_Sheet'!L60</f>
        <v>0</v>
      </c>
      <c r="M24" s="97">
        <f>'3_Balance_Sheet'!M60</f>
        <v>0</v>
      </c>
      <c r="N24" s="97">
        <f>'3_Balance_Sheet'!N60</f>
        <v>0</v>
      </c>
    </row>
    <row r="25" spans="1:16" ht="15" customHeight="1" x14ac:dyDescent="0.55000000000000004">
      <c r="A25" s="86">
        <v>16</v>
      </c>
      <c r="B25" s="87" t="s">
        <v>464</v>
      </c>
      <c r="C25" s="98">
        <f>IFERROR(C24*12/'2_Operating_Statement'!C8,0)</f>
        <v>0</v>
      </c>
      <c r="D25" s="98">
        <f>IFERROR(D24*12/'2_Operating_Statement'!D8,0)</f>
        <v>0</v>
      </c>
      <c r="E25" s="98">
        <f>IFERROR(E24*12/'2_Operating_Statement'!E8,0)</f>
        <v>0</v>
      </c>
      <c r="F25" s="98">
        <f>IFERROR(F24*12/'2_Operating_Statement'!F8,0)</f>
        <v>0</v>
      </c>
      <c r="G25" s="98">
        <f>IFERROR(G24*12/'2_Operating_Statement'!G8,0)</f>
        <v>0</v>
      </c>
      <c r="H25" s="98">
        <f>IFERROR(H24*12/'2_Operating_Statement'!H8,0)</f>
        <v>0</v>
      </c>
      <c r="I25" s="98">
        <f>IFERROR(I24*12/'2_Operating_Statement'!I8,0)</f>
        <v>0</v>
      </c>
      <c r="J25" s="98">
        <f>IFERROR(J24*12/'2_Operating_Statement'!J8,0)</f>
        <v>0</v>
      </c>
      <c r="K25" s="98">
        <f>IFERROR(K24*12/'2_Operating_Statement'!K8,0)</f>
        <v>0</v>
      </c>
      <c r="L25" s="98">
        <f>IFERROR(L24*12/'2_Operating_Statement'!L8,0)</f>
        <v>0</v>
      </c>
      <c r="M25" s="98">
        <f>IFERROR(M24*12/'2_Operating_Statement'!M8,0)</f>
        <v>0</v>
      </c>
      <c r="N25" s="98">
        <f>IFERROR(N24*12/'2_Operating_Statement'!N8,0)</f>
        <v>0</v>
      </c>
    </row>
    <row r="26" spans="1:16" ht="19.5" customHeight="1" x14ac:dyDescent="0.55000000000000004">
      <c r="A26" s="310" t="s">
        <v>394</v>
      </c>
      <c r="B26" s="310"/>
      <c r="C26" s="310"/>
      <c r="D26" s="310"/>
      <c r="E26" s="310"/>
      <c r="F26" s="310"/>
      <c r="G26" s="310"/>
      <c r="H26" s="310"/>
      <c r="I26" s="310"/>
      <c r="J26" s="310"/>
      <c r="K26" s="310"/>
      <c r="L26" s="310"/>
      <c r="M26" s="310"/>
      <c r="N26" s="310"/>
      <c r="O26" s="310"/>
      <c r="P26" s="310"/>
    </row>
    <row r="27" spans="1:16" ht="15" customHeight="1" x14ac:dyDescent="0.55000000000000004">
      <c r="A27" s="86">
        <v>17</v>
      </c>
      <c r="B27" s="87" t="s">
        <v>465</v>
      </c>
      <c r="C27" s="97">
        <f>'3_Balance_Sheet'!C55</f>
        <v>0</v>
      </c>
      <c r="D27" s="97">
        <f>'3_Balance_Sheet'!D55</f>
        <v>0</v>
      </c>
      <c r="E27" s="97">
        <f>'3_Balance_Sheet'!E55</f>
        <v>0</v>
      </c>
      <c r="F27" s="97">
        <f>'3_Balance_Sheet'!F55</f>
        <v>0</v>
      </c>
      <c r="G27" s="97">
        <f>'3_Balance_Sheet'!G55</f>
        <v>0</v>
      </c>
      <c r="H27" s="97">
        <f>'3_Balance_Sheet'!H55</f>
        <v>0</v>
      </c>
      <c r="I27" s="97">
        <f>'3_Balance_Sheet'!I55</f>
        <v>0</v>
      </c>
      <c r="J27" s="97">
        <f>'3_Balance_Sheet'!J55</f>
        <v>0</v>
      </c>
      <c r="K27" s="97">
        <f>'3_Balance_Sheet'!K55</f>
        <v>0</v>
      </c>
      <c r="L27" s="97">
        <f>'3_Balance_Sheet'!L55</f>
        <v>0</v>
      </c>
      <c r="M27" s="97">
        <f>'3_Balance_Sheet'!M55</f>
        <v>0</v>
      </c>
      <c r="N27" s="97">
        <f>'3_Balance_Sheet'!N55</f>
        <v>0</v>
      </c>
    </row>
    <row r="28" spans="1:16" ht="15" customHeight="1" x14ac:dyDescent="0.55000000000000004">
      <c r="A28" s="86">
        <v>18</v>
      </c>
      <c r="B28" s="87" t="s">
        <v>466</v>
      </c>
      <c r="C28" s="97">
        <f>'3_Balance_Sheet'!C56</f>
        <v>0</v>
      </c>
      <c r="D28" s="97">
        <f>'3_Balance_Sheet'!D56</f>
        <v>0</v>
      </c>
      <c r="E28" s="97">
        <f>'3_Balance_Sheet'!E56</f>
        <v>0</v>
      </c>
      <c r="F28" s="97">
        <f>'3_Balance_Sheet'!F56</f>
        <v>0</v>
      </c>
      <c r="G28" s="97">
        <f>'3_Balance_Sheet'!G56</f>
        <v>0</v>
      </c>
      <c r="H28" s="97">
        <f>'3_Balance_Sheet'!H56</f>
        <v>0</v>
      </c>
      <c r="I28" s="97">
        <f>'3_Balance_Sheet'!I56</f>
        <v>0</v>
      </c>
      <c r="J28" s="97">
        <f>'3_Balance_Sheet'!J56</f>
        <v>0</v>
      </c>
      <c r="K28" s="97">
        <f>'3_Balance_Sheet'!K56</f>
        <v>0</v>
      </c>
      <c r="L28" s="97">
        <f>'3_Balance_Sheet'!L56</f>
        <v>0</v>
      </c>
      <c r="M28" s="97">
        <f>'3_Balance_Sheet'!M56</f>
        <v>0</v>
      </c>
      <c r="N28" s="97">
        <f>'3_Balance_Sheet'!N56</f>
        <v>0</v>
      </c>
    </row>
    <row r="29" spans="1:16" ht="15" customHeight="1" x14ac:dyDescent="0.55000000000000004">
      <c r="A29" s="86">
        <v>19</v>
      </c>
      <c r="B29" s="87" t="s">
        <v>376</v>
      </c>
      <c r="C29" s="97">
        <f>'3_Balance_Sheet'!C57</f>
        <v>0</v>
      </c>
      <c r="D29" s="97">
        <f>'3_Balance_Sheet'!D57</f>
        <v>0</v>
      </c>
      <c r="E29" s="97">
        <f>'3_Balance_Sheet'!E57</f>
        <v>0</v>
      </c>
      <c r="F29" s="97">
        <f>'3_Balance_Sheet'!F57</f>
        <v>0</v>
      </c>
      <c r="G29" s="97">
        <f>'3_Balance_Sheet'!G57</f>
        <v>0</v>
      </c>
      <c r="H29" s="97">
        <f>'3_Balance_Sheet'!H57</f>
        <v>0</v>
      </c>
      <c r="I29" s="97">
        <f>'3_Balance_Sheet'!I57</f>
        <v>0</v>
      </c>
      <c r="J29" s="97">
        <f>'3_Balance_Sheet'!J57</f>
        <v>0</v>
      </c>
      <c r="K29" s="97">
        <f>'3_Balance_Sheet'!K57</f>
        <v>0</v>
      </c>
      <c r="L29" s="97">
        <f>'3_Balance_Sheet'!L57</f>
        <v>0</v>
      </c>
      <c r="M29" s="97">
        <f>'3_Balance_Sheet'!M57</f>
        <v>0</v>
      </c>
      <c r="N29" s="97">
        <f>'3_Balance_Sheet'!N57</f>
        <v>0</v>
      </c>
    </row>
    <row r="30" spans="1:16" ht="15" customHeight="1" x14ac:dyDescent="0.55000000000000004">
      <c r="A30" s="86">
        <v>20</v>
      </c>
      <c r="B30" s="89" t="s">
        <v>467</v>
      </c>
      <c r="C30" s="90">
        <f>'3_Balance_Sheet'!C82</f>
        <v>0</v>
      </c>
      <c r="D30" s="90">
        <f>'3_Balance_Sheet'!D82</f>
        <v>0</v>
      </c>
      <c r="E30" s="90">
        <f>'3_Balance_Sheet'!E82</f>
        <v>0</v>
      </c>
      <c r="F30" s="90">
        <f>'3_Balance_Sheet'!F82</f>
        <v>0</v>
      </c>
      <c r="G30" s="90">
        <f>'3_Balance_Sheet'!G82</f>
        <v>0</v>
      </c>
      <c r="H30" s="90">
        <f>'3_Balance_Sheet'!H82</f>
        <v>0</v>
      </c>
      <c r="I30" s="90">
        <f>'3_Balance_Sheet'!I82</f>
        <v>0</v>
      </c>
      <c r="J30" s="90">
        <f>'3_Balance_Sheet'!J82</f>
        <v>0</v>
      </c>
      <c r="K30" s="90">
        <f>'3_Balance_Sheet'!K82</f>
        <v>0</v>
      </c>
      <c r="L30" s="90">
        <f>'3_Balance_Sheet'!L82</f>
        <v>0</v>
      </c>
      <c r="M30" s="90">
        <f>'3_Balance_Sheet'!M82</f>
        <v>0</v>
      </c>
      <c r="N30" s="90">
        <f>'3_Balance_Sheet'!N82</f>
        <v>0</v>
      </c>
    </row>
    <row r="31" spans="1:16" ht="19.5" customHeight="1" x14ac:dyDescent="0.55000000000000004">
      <c r="A31" s="310" t="s">
        <v>468</v>
      </c>
      <c r="B31" s="310"/>
      <c r="C31" s="310"/>
      <c r="D31" s="310"/>
      <c r="E31" s="310"/>
      <c r="F31" s="310"/>
      <c r="G31" s="310"/>
      <c r="H31" s="310"/>
      <c r="I31" s="310"/>
      <c r="J31" s="310"/>
      <c r="K31" s="310"/>
      <c r="L31" s="310"/>
      <c r="M31" s="310"/>
      <c r="N31" s="310"/>
      <c r="O31" s="310"/>
      <c r="P31" s="310"/>
    </row>
    <row r="32" spans="1:16" ht="15" customHeight="1" x14ac:dyDescent="0.55000000000000004">
      <c r="A32" s="86">
        <v>21</v>
      </c>
      <c r="B32" s="89" t="s">
        <v>469</v>
      </c>
      <c r="C32" s="90">
        <f>'3_Balance_Sheet'!C14+'3_Balance_Sheet'!C15</f>
        <v>0</v>
      </c>
      <c r="D32" s="90">
        <f>'3_Balance_Sheet'!D14+'3_Balance_Sheet'!D15</f>
        <v>0</v>
      </c>
      <c r="E32" s="90">
        <f>'3_Balance_Sheet'!E14+'3_Balance_Sheet'!E15</f>
        <v>0</v>
      </c>
      <c r="F32" s="90">
        <f>'3_Balance_Sheet'!F14+'3_Balance_Sheet'!F15</f>
        <v>0</v>
      </c>
      <c r="G32" s="90">
        <f>'3_Balance_Sheet'!G14+'3_Balance_Sheet'!G15</f>
        <v>0</v>
      </c>
      <c r="H32" s="90">
        <f>'3_Balance_Sheet'!H14+'3_Balance_Sheet'!H15</f>
        <v>0</v>
      </c>
      <c r="I32" s="90">
        <f>'3_Balance_Sheet'!I14+'3_Balance_Sheet'!I15</f>
        <v>0</v>
      </c>
      <c r="J32" s="90">
        <f>'3_Balance_Sheet'!J14+'3_Balance_Sheet'!J15</f>
        <v>0</v>
      </c>
      <c r="K32" s="90">
        <f>'3_Balance_Sheet'!K14+'3_Balance_Sheet'!K15</f>
        <v>0</v>
      </c>
      <c r="L32" s="90">
        <f>'3_Balance_Sheet'!L14+'3_Balance_Sheet'!L15</f>
        <v>0</v>
      </c>
      <c r="M32" s="90">
        <f>'3_Balance_Sheet'!M14+'3_Balance_Sheet'!M15</f>
        <v>0</v>
      </c>
      <c r="N32" s="90">
        <f>'3_Balance_Sheet'!N14+'3_Balance_Sheet'!N15</f>
        <v>0</v>
      </c>
    </row>
    <row r="33" spans="1:14" ht="15" customHeight="1" x14ac:dyDescent="0.55000000000000004">
      <c r="A33" s="86">
        <v>22</v>
      </c>
      <c r="B33" s="87" t="s">
        <v>470</v>
      </c>
      <c r="C33" s="98">
        <f>IFERROR(C32*12/('2_Operating_Statement'!C17+'2_Operating_Statement'!C20),0)</f>
        <v>0</v>
      </c>
      <c r="D33" s="98">
        <f>IFERROR(D32*12/('2_Operating_Statement'!D17+'2_Operating_Statement'!D20),0)</f>
        <v>0</v>
      </c>
      <c r="E33" s="98">
        <f>IFERROR(E32*12/('2_Operating_Statement'!E17+'2_Operating_Statement'!E20),0)</f>
        <v>0</v>
      </c>
      <c r="F33" s="98">
        <f>IFERROR(F32*12/('2_Operating_Statement'!F17+'2_Operating_Statement'!F20),0)</f>
        <v>0</v>
      </c>
      <c r="G33" s="98">
        <f>IFERROR(G32*12/('2_Operating_Statement'!G17+'2_Operating_Statement'!G20),0)</f>
        <v>0</v>
      </c>
      <c r="H33" s="98">
        <f>IFERROR(H32*12/('2_Operating_Statement'!H17+'2_Operating_Statement'!H20),0)</f>
        <v>0</v>
      </c>
      <c r="I33" s="98">
        <f>IFERROR(I32*12/('2_Operating_Statement'!I17+'2_Operating_Statement'!I20),0)</f>
        <v>0</v>
      </c>
      <c r="J33" s="98">
        <f>IFERROR(J32*12/('2_Operating_Statement'!J17+'2_Operating_Statement'!J20),0)</f>
        <v>0</v>
      </c>
      <c r="K33" s="98">
        <f>IFERROR(K32*12/('2_Operating_Statement'!K17+'2_Operating_Statement'!K20),0)</f>
        <v>0</v>
      </c>
      <c r="L33" s="98">
        <f>IFERROR(L32*12/('2_Operating_Statement'!L17+'2_Operating_Statement'!L20),0)</f>
        <v>0</v>
      </c>
      <c r="M33" s="98">
        <f>IFERROR(M32*12/('2_Operating_Statement'!M17+'2_Operating_Statement'!M20),0)</f>
        <v>0</v>
      </c>
      <c r="N33" s="98">
        <f>IFERROR(N32*12/('2_Operating_Statement'!N17+'2_Operating_Statement'!N20),0)</f>
        <v>0</v>
      </c>
    </row>
    <row r="34" spans="1:14" ht="15" customHeight="1" x14ac:dyDescent="0.55000000000000004">
      <c r="A34" s="86">
        <v>23</v>
      </c>
      <c r="B34" s="87" t="s">
        <v>471</v>
      </c>
      <c r="C34" s="97">
        <f>'3_Balance_Sheet'!C20</f>
        <v>0</v>
      </c>
      <c r="D34" s="97">
        <f>'3_Balance_Sheet'!D20</f>
        <v>0</v>
      </c>
      <c r="E34" s="97">
        <f>'3_Balance_Sheet'!E20</f>
        <v>0</v>
      </c>
      <c r="F34" s="97">
        <f>'3_Balance_Sheet'!F20</f>
        <v>0</v>
      </c>
      <c r="G34" s="97">
        <f>'3_Balance_Sheet'!G20</f>
        <v>0</v>
      </c>
      <c r="H34" s="97">
        <f>'3_Balance_Sheet'!H20</f>
        <v>0</v>
      </c>
      <c r="I34" s="97">
        <f>'3_Balance_Sheet'!I20</f>
        <v>0</v>
      </c>
      <c r="J34" s="97">
        <f>'3_Balance_Sheet'!J20</f>
        <v>0</v>
      </c>
      <c r="K34" s="97">
        <f>'3_Balance_Sheet'!K20</f>
        <v>0</v>
      </c>
      <c r="L34" s="97">
        <f>'3_Balance_Sheet'!L20</f>
        <v>0</v>
      </c>
      <c r="M34" s="97">
        <f>'3_Balance_Sheet'!M20</f>
        <v>0</v>
      </c>
      <c r="N34" s="97">
        <f>'3_Balance_Sheet'!N20</f>
        <v>0</v>
      </c>
    </row>
  </sheetData>
  <mergeCells count="8">
    <mergeCell ref="A21:P21"/>
    <mergeCell ref="A26:P26"/>
    <mergeCell ref="A31:P31"/>
    <mergeCell ref="A1:P1"/>
    <mergeCell ref="A2:P2"/>
    <mergeCell ref="A6:P6"/>
    <mergeCell ref="A11:P11"/>
    <mergeCell ref="A16:P16"/>
  </mergeCells>
  <conditionalFormatting sqref="C4:C34">
    <cfRule type="expression" dxfId="76" priority="2">
      <formula>1&gt;TotalCols</formula>
    </cfRule>
  </conditionalFormatting>
  <conditionalFormatting sqref="D4:D34">
    <cfRule type="expression" dxfId="75" priority="3">
      <formula>2&gt;TotalCols</formula>
    </cfRule>
  </conditionalFormatting>
  <conditionalFormatting sqref="E4:E34">
    <cfRule type="expression" dxfId="74" priority="4">
      <formula>3&gt;TotalCols</formula>
    </cfRule>
  </conditionalFormatting>
  <conditionalFormatting sqref="F4:F34">
    <cfRule type="expression" dxfId="73" priority="5">
      <formula>4&gt;TotalCols</formula>
    </cfRule>
  </conditionalFormatting>
  <conditionalFormatting sqref="G4:G34">
    <cfRule type="expression" dxfId="72" priority="6">
      <formula>5&gt;TotalCols</formula>
    </cfRule>
  </conditionalFormatting>
  <conditionalFormatting sqref="H4:H34">
    <cfRule type="expression" dxfId="71" priority="7">
      <formula>6&gt;TotalCols</formula>
    </cfRule>
  </conditionalFormatting>
  <conditionalFormatting sqref="I4:I34">
    <cfRule type="expression" dxfId="70" priority="8">
      <formula>7&gt;TotalCols</formula>
    </cfRule>
  </conditionalFormatting>
  <conditionalFormatting sqref="J4:J34">
    <cfRule type="expression" dxfId="69" priority="9">
      <formula>8&gt;TotalCols</formula>
    </cfRule>
  </conditionalFormatting>
  <conditionalFormatting sqref="K4:K34">
    <cfRule type="expression" dxfId="68" priority="10">
      <formula>9&gt;TotalCols</formula>
    </cfRule>
  </conditionalFormatting>
  <conditionalFormatting sqref="L4:L34">
    <cfRule type="expression" dxfId="67" priority="11">
      <formula>10&gt;TotalCols</formula>
    </cfRule>
  </conditionalFormatting>
  <conditionalFormatting sqref="M4:M34">
    <cfRule type="expression" dxfId="66" priority="12">
      <formula>11&gt;TotalCols</formula>
    </cfRule>
  </conditionalFormatting>
  <conditionalFormatting sqref="N4:N34">
    <cfRule type="expression" dxfId="65" priority="13">
      <formula>12&gt;TotalCols</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P24"/>
  <sheetViews>
    <sheetView zoomScaleNormal="100" workbookViewId="0"/>
  </sheetViews>
  <sheetFormatPr defaultColWidth="8.68359375" defaultRowHeight="14.4" x14ac:dyDescent="0.55000000000000004"/>
  <cols>
    <col min="1" max="1" width="6" customWidth="1"/>
    <col min="2" max="2" width="50" customWidth="1"/>
    <col min="3" max="15" width="12" customWidth="1"/>
    <col min="16" max="16" width="35" customWidth="1"/>
  </cols>
  <sheetData>
    <row r="1" spans="1:16" ht="24" customHeight="1" x14ac:dyDescent="0.55000000000000004">
      <c r="A1" s="294" t="str">
        <f>CONCATENATE("WORKING CAPITAL ASSESSMENT — MPBF II  |  ₹ Crores  |  ", BorrowerName)</f>
        <v xml:space="preserve">WORKING CAPITAL ASSESSMENT — MPBF II  |  ₹ Crores  |  </v>
      </c>
      <c r="B1" s="294"/>
      <c r="C1" s="294"/>
      <c r="D1" s="294"/>
      <c r="E1" s="294"/>
      <c r="F1" s="294"/>
      <c r="G1" s="294"/>
      <c r="H1" s="294"/>
      <c r="I1" s="294"/>
      <c r="J1" s="294"/>
      <c r="K1" s="294"/>
      <c r="L1" s="294"/>
      <c r="M1" s="294"/>
      <c r="N1" s="294"/>
      <c r="O1" s="294"/>
      <c r="P1" s="294"/>
    </row>
    <row r="2" spans="1:16" ht="15" customHeight="1" x14ac:dyDescent="0.55000000000000004">
      <c r="A2" s="295" t="s">
        <v>472</v>
      </c>
      <c r="B2" s="295"/>
      <c r="C2" s="295"/>
      <c r="D2" s="295"/>
      <c r="E2" s="295"/>
      <c r="F2" s="295"/>
      <c r="G2" s="295"/>
      <c r="H2" s="295"/>
      <c r="I2" s="295"/>
      <c r="J2" s="295"/>
      <c r="K2" s="295"/>
      <c r="L2" s="295"/>
      <c r="M2" s="295"/>
      <c r="N2" s="295"/>
      <c r="O2" s="295"/>
      <c r="P2" s="295"/>
    </row>
    <row r="3" spans="1:16" ht="30" customHeight="1" x14ac:dyDescent="0.55000000000000004">
      <c r="A3" s="79" t="s">
        <v>251</v>
      </c>
      <c r="B3" s="79" t="s">
        <v>252</v>
      </c>
      <c r="C3" s="80" t="s">
        <v>253</v>
      </c>
      <c r="D3" s="80" t="s">
        <v>254</v>
      </c>
      <c r="E3" s="80" t="s">
        <v>255</v>
      </c>
      <c r="F3" s="80" t="s">
        <v>256</v>
      </c>
      <c r="G3" s="80" t="s">
        <v>257</v>
      </c>
      <c r="H3" s="80" t="s">
        <v>258</v>
      </c>
      <c r="I3" s="80" t="s">
        <v>259</v>
      </c>
      <c r="J3" s="80" t="s">
        <v>260</v>
      </c>
      <c r="K3" s="80" t="s">
        <v>261</v>
      </c>
      <c r="L3" s="80" t="s">
        <v>262</v>
      </c>
      <c r="M3" s="80" t="s">
        <v>263</v>
      </c>
      <c r="N3" s="80" t="s">
        <v>264</v>
      </c>
      <c r="O3" s="81" t="s">
        <v>265</v>
      </c>
      <c r="P3" s="81" t="s">
        <v>266</v>
      </c>
    </row>
    <row r="4" spans="1:16" ht="18"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5" spans="1:16" ht="15" customHeight="1" x14ac:dyDescent="0.55000000000000004">
      <c r="B5" s="84" t="s">
        <v>268</v>
      </c>
      <c r="C5" s="85" t="str">
        <f>INDEX('0_Setup'!$C$48:$C$59,1)</f>
        <v>Audited</v>
      </c>
      <c r="D5" s="85" t="str">
        <f>INDEX('0_Setup'!$C$48:$C$59,2)</f>
        <v>Audited</v>
      </c>
      <c r="E5" s="85" t="str">
        <f>INDEX('0_Setup'!$C$48:$C$59,3)</f>
        <v>Estimated</v>
      </c>
      <c r="F5" s="85" t="str">
        <f>INDEX('0_Setup'!$C$48:$C$59,4)</f>
        <v>Audited/Provisional</v>
      </c>
      <c r="G5" s="85" t="str">
        <f>INDEX('0_Setup'!$C$48:$C$59,5)</f>
        <v>Estimated</v>
      </c>
      <c r="H5" s="85" t="str">
        <f>INDEX('0_Setup'!$C$48:$C$59,6)</f>
        <v>Projected</v>
      </c>
      <c r="I5" s="85" t="str">
        <f>INDEX('0_Setup'!$C$48:$C$59,7)</f>
        <v>Projected</v>
      </c>
      <c r="J5" s="85" t="str">
        <f>INDEX('0_Setup'!$C$48:$C$59,8)</f>
        <v>Projected</v>
      </c>
      <c r="K5" s="85" t="str">
        <f>INDEX('0_Setup'!$C$48:$C$59,9)</f>
        <v>Projected</v>
      </c>
      <c r="L5" s="85" t="str">
        <f>INDEX('0_Setup'!$C$48:$C$59,10)</f>
        <v/>
      </c>
      <c r="M5" s="85" t="str">
        <f>INDEX('0_Setup'!$C$48:$C$59,11)</f>
        <v/>
      </c>
      <c r="N5" s="85" t="str">
        <f>INDEX('0_Setup'!$C$48:$C$59,12)</f>
        <v/>
      </c>
    </row>
    <row r="6" spans="1:16" ht="19.5" customHeight="1" x14ac:dyDescent="0.55000000000000004">
      <c r="A6" s="310" t="s">
        <v>473</v>
      </c>
      <c r="B6" s="310"/>
      <c r="C6" s="310"/>
      <c r="D6" s="310"/>
      <c r="E6" s="310"/>
      <c r="F6" s="310"/>
      <c r="G6" s="310"/>
      <c r="H6" s="310"/>
      <c r="I6" s="310"/>
      <c r="J6" s="310"/>
      <c r="K6" s="310"/>
      <c r="L6" s="310"/>
      <c r="M6" s="310"/>
      <c r="N6" s="310"/>
      <c r="O6" s="310"/>
      <c r="P6" s="310"/>
    </row>
    <row r="7" spans="1:16" ht="15" customHeight="1" x14ac:dyDescent="0.55000000000000004">
      <c r="A7" s="86">
        <v>1</v>
      </c>
      <c r="B7" s="89" t="s">
        <v>400</v>
      </c>
      <c r="C7" s="90">
        <f>'3_Balance_Sheet'!C82</f>
        <v>0</v>
      </c>
      <c r="D7" s="90">
        <f>'3_Balance_Sheet'!D82</f>
        <v>0</v>
      </c>
      <c r="E7" s="90">
        <f>'3_Balance_Sheet'!E82</f>
        <v>0</v>
      </c>
      <c r="F7" s="90">
        <f>'3_Balance_Sheet'!F82</f>
        <v>0</v>
      </c>
      <c r="G7" s="90">
        <f>'3_Balance_Sheet'!G82</f>
        <v>0</v>
      </c>
      <c r="H7" s="90">
        <f>'3_Balance_Sheet'!H82</f>
        <v>0</v>
      </c>
      <c r="I7" s="90">
        <f>'3_Balance_Sheet'!I82</f>
        <v>0</v>
      </c>
      <c r="J7" s="90">
        <f>'3_Balance_Sheet'!J82</f>
        <v>0</v>
      </c>
      <c r="K7" s="90">
        <f>'3_Balance_Sheet'!K82</f>
        <v>0</v>
      </c>
      <c r="L7" s="90">
        <f>'3_Balance_Sheet'!L82</f>
        <v>0</v>
      </c>
      <c r="M7" s="90">
        <f>'3_Balance_Sheet'!M82</f>
        <v>0</v>
      </c>
      <c r="N7" s="90">
        <f>'3_Balance_Sheet'!N82</f>
        <v>0</v>
      </c>
    </row>
    <row r="8" spans="1:16" ht="15" customHeight="1" x14ac:dyDescent="0.55000000000000004">
      <c r="A8" s="86">
        <v>2</v>
      </c>
      <c r="B8" s="89" t="s">
        <v>474</v>
      </c>
      <c r="C8" s="90">
        <f>'3_Balance_Sheet'!C26</f>
        <v>0</v>
      </c>
      <c r="D8" s="90">
        <f>'3_Balance_Sheet'!D26</f>
        <v>0</v>
      </c>
      <c r="E8" s="90">
        <f>'3_Balance_Sheet'!E26</f>
        <v>0</v>
      </c>
      <c r="F8" s="90">
        <f>'3_Balance_Sheet'!F26</f>
        <v>0</v>
      </c>
      <c r="G8" s="90">
        <f>'3_Balance_Sheet'!G26</f>
        <v>0</v>
      </c>
      <c r="H8" s="90">
        <f>'3_Balance_Sheet'!H26</f>
        <v>0</v>
      </c>
      <c r="I8" s="90">
        <f>'3_Balance_Sheet'!I26</f>
        <v>0</v>
      </c>
      <c r="J8" s="90">
        <f>'3_Balance_Sheet'!J26</f>
        <v>0</v>
      </c>
      <c r="K8" s="90">
        <f>'3_Balance_Sheet'!K26</f>
        <v>0</v>
      </c>
      <c r="L8" s="90">
        <f>'3_Balance_Sheet'!L26</f>
        <v>0</v>
      </c>
      <c r="M8" s="90">
        <f>'3_Balance_Sheet'!M26</f>
        <v>0</v>
      </c>
      <c r="N8" s="90">
        <f>'3_Balance_Sheet'!N26</f>
        <v>0</v>
      </c>
    </row>
    <row r="9" spans="1:16" ht="15" customHeight="1" x14ac:dyDescent="0.55000000000000004">
      <c r="A9" s="86">
        <v>3</v>
      </c>
      <c r="B9" s="89" t="s">
        <v>475</v>
      </c>
      <c r="C9" s="90">
        <f>'3_Balance_Sheet'!C26-'3_Balance_Sheet'!C14-'3_Balance_Sheet'!C15</f>
        <v>0</v>
      </c>
      <c r="D9" s="90">
        <f>'3_Balance_Sheet'!D26-'3_Balance_Sheet'!D14-'3_Balance_Sheet'!D15</f>
        <v>0</v>
      </c>
      <c r="E9" s="90">
        <f>'3_Balance_Sheet'!E26-'3_Balance_Sheet'!E14-'3_Balance_Sheet'!E15</f>
        <v>0</v>
      </c>
      <c r="F9" s="90">
        <f>'3_Balance_Sheet'!F26-'3_Balance_Sheet'!F14-'3_Balance_Sheet'!F15</f>
        <v>0</v>
      </c>
      <c r="G9" s="90">
        <f>'3_Balance_Sheet'!G26-'3_Balance_Sheet'!G14-'3_Balance_Sheet'!G15</f>
        <v>0</v>
      </c>
      <c r="H9" s="90">
        <f>'3_Balance_Sheet'!H26-'3_Balance_Sheet'!H14-'3_Balance_Sheet'!H15</f>
        <v>0</v>
      </c>
      <c r="I9" s="90">
        <f>'3_Balance_Sheet'!I26-'3_Balance_Sheet'!I14-'3_Balance_Sheet'!I15</f>
        <v>0</v>
      </c>
      <c r="J9" s="90">
        <f>'3_Balance_Sheet'!J26-'3_Balance_Sheet'!J14-'3_Balance_Sheet'!J15</f>
        <v>0</v>
      </c>
      <c r="K9" s="90">
        <f>'3_Balance_Sheet'!K26-'3_Balance_Sheet'!K14-'3_Balance_Sheet'!K15</f>
        <v>0</v>
      </c>
      <c r="L9" s="90">
        <f>'3_Balance_Sheet'!L26-'3_Balance_Sheet'!L14-'3_Balance_Sheet'!L15</f>
        <v>0</v>
      </c>
      <c r="M9" s="90">
        <f>'3_Balance_Sheet'!M26-'3_Balance_Sheet'!M14-'3_Balance_Sheet'!M15</f>
        <v>0</v>
      </c>
      <c r="N9" s="90">
        <f>'3_Balance_Sheet'!N26-'3_Balance_Sheet'!N14-'3_Balance_Sheet'!N15</f>
        <v>0</v>
      </c>
    </row>
    <row r="10" spans="1:16" ht="15" customHeight="1" x14ac:dyDescent="0.55000000000000004">
      <c r="A10" s="86">
        <v>4</v>
      </c>
      <c r="B10" s="89" t="s">
        <v>476</v>
      </c>
      <c r="C10" s="90">
        <f t="shared" ref="C10:N10" si="0">C7-C8</f>
        <v>0</v>
      </c>
      <c r="D10" s="90">
        <f t="shared" si="0"/>
        <v>0</v>
      </c>
      <c r="E10" s="90">
        <f t="shared" si="0"/>
        <v>0</v>
      </c>
      <c r="F10" s="90">
        <f t="shared" si="0"/>
        <v>0</v>
      </c>
      <c r="G10" s="90">
        <f t="shared" si="0"/>
        <v>0</v>
      </c>
      <c r="H10" s="90">
        <f t="shared" si="0"/>
        <v>0</v>
      </c>
      <c r="I10" s="90">
        <f t="shared" si="0"/>
        <v>0</v>
      </c>
      <c r="J10" s="90">
        <f t="shared" si="0"/>
        <v>0</v>
      </c>
      <c r="K10" s="90">
        <f t="shared" si="0"/>
        <v>0</v>
      </c>
      <c r="L10" s="90">
        <f t="shared" si="0"/>
        <v>0</v>
      </c>
      <c r="M10" s="90">
        <f t="shared" si="0"/>
        <v>0</v>
      </c>
      <c r="N10" s="90">
        <f t="shared" si="0"/>
        <v>0</v>
      </c>
    </row>
    <row r="11" spans="1:16" ht="15" customHeight="1" x14ac:dyDescent="0.55000000000000004">
      <c r="A11" s="86">
        <v>5</v>
      </c>
      <c r="B11" s="87" t="s">
        <v>477</v>
      </c>
      <c r="C11" s="88"/>
      <c r="D11" s="88"/>
      <c r="E11" s="88"/>
      <c r="F11" s="88"/>
      <c r="G11" s="88"/>
      <c r="H11" s="88"/>
      <c r="I11" s="88"/>
      <c r="J11" s="88"/>
      <c r="K11" s="88"/>
      <c r="L11" s="88"/>
      <c r="M11" s="88"/>
      <c r="N11" s="88"/>
    </row>
    <row r="12" spans="1:16" ht="15" customHeight="1" x14ac:dyDescent="0.55000000000000004">
      <c r="A12" s="86">
        <v>6</v>
      </c>
      <c r="B12" s="89" t="s">
        <v>478</v>
      </c>
      <c r="C12" s="90">
        <f t="shared" ref="C12:N12" si="1">C10-C11</f>
        <v>0</v>
      </c>
      <c r="D12" s="90">
        <f t="shared" si="1"/>
        <v>0</v>
      </c>
      <c r="E12" s="90">
        <f t="shared" si="1"/>
        <v>0</v>
      </c>
      <c r="F12" s="90">
        <f t="shared" si="1"/>
        <v>0</v>
      </c>
      <c r="G12" s="90">
        <f t="shared" si="1"/>
        <v>0</v>
      </c>
      <c r="H12" s="90">
        <f t="shared" si="1"/>
        <v>0</v>
      </c>
      <c r="I12" s="90">
        <f t="shared" si="1"/>
        <v>0</v>
      </c>
      <c r="J12" s="90">
        <f t="shared" si="1"/>
        <v>0</v>
      </c>
      <c r="K12" s="90">
        <f t="shared" si="1"/>
        <v>0</v>
      </c>
      <c r="L12" s="90">
        <f t="shared" si="1"/>
        <v>0</v>
      </c>
      <c r="M12" s="90">
        <f t="shared" si="1"/>
        <v>0</v>
      </c>
      <c r="N12" s="90">
        <f t="shared" si="1"/>
        <v>0</v>
      </c>
    </row>
    <row r="13" spans="1:16" ht="19.5" customHeight="1" x14ac:dyDescent="0.55000000000000004">
      <c r="A13" s="310" t="s">
        <v>479</v>
      </c>
      <c r="B13" s="310"/>
      <c r="C13" s="310"/>
      <c r="D13" s="310"/>
      <c r="E13" s="310"/>
      <c r="F13" s="310"/>
      <c r="G13" s="310"/>
      <c r="H13" s="310"/>
      <c r="I13" s="310"/>
      <c r="J13" s="310"/>
      <c r="K13" s="310"/>
      <c r="L13" s="310"/>
      <c r="M13" s="310"/>
      <c r="N13" s="310"/>
      <c r="O13" s="310"/>
      <c r="P13" s="310"/>
    </row>
    <row r="14" spans="1:16" ht="15" customHeight="1" x14ac:dyDescent="0.55000000000000004">
      <c r="A14" s="86">
        <v>7</v>
      </c>
      <c r="B14" s="87" t="s">
        <v>480</v>
      </c>
      <c r="C14" s="99">
        <f t="shared" ref="C14:N14" si="2">IFERROR(C11/C7,0)</f>
        <v>0</v>
      </c>
      <c r="D14" s="99">
        <f t="shared" si="2"/>
        <v>0</v>
      </c>
      <c r="E14" s="99">
        <f t="shared" si="2"/>
        <v>0</v>
      </c>
      <c r="F14" s="99">
        <f t="shared" si="2"/>
        <v>0</v>
      </c>
      <c r="G14" s="99">
        <f t="shared" si="2"/>
        <v>0</v>
      </c>
      <c r="H14" s="99">
        <f t="shared" si="2"/>
        <v>0</v>
      </c>
      <c r="I14" s="99">
        <f t="shared" si="2"/>
        <v>0</v>
      </c>
      <c r="J14" s="99">
        <f t="shared" si="2"/>
        <v>0</v>
      </c>
      <c r="K14" s="99">
        <f t="shared" si="2"/>
        <v>0</v>
      </c>
      <c r="L14" s="99">
        <f t="shared" si="2"/>
        <v>0</v>
      </c>
      <c r="M14" s="99">
        <f t="shared" si="2"/>
        <v>0</v>
      </c>
      <c r="N14" s="99">
        <f t="shared" si="2"/>
        <v>0</v>
      </c>
    </row>
    <row r="15" spans="1:16" ht="15" customHeight="1" x14ac:dyDescent="0.55000000000000004">
      <c r="A15" s="86">
        <v>8</v>
      </c>
      <c r="B15" s="87" t="s">
        <v>481</v>
      </c>
      <c r="C15" s="99">
        <f t="shared" ref="C15:N15" si="3">IFERROR(C12/C7,0)</f>
        <v>0</v>
      </c>
      <c r="D15" s="99">
        <f t="shared" si="3"/>
        <v>0</v>
      </c>
      <c r="E15" s="99">
        <f t="shared" si="3"/>
        <v>0</v>
      </c>
      <c r="F15" s="99">
        <f t="shared" si="3"/>
        <v>0</v>
      </c>
      <c r="G15" s="99">
        <f t="shared" si="3"/>
        <v>0</v>
      </c>
      <c r="H15" s="99">
        <f t="shared" si="3"/>
        <v>0</v>
      </c>
      <c r="I15" s="99">
        <f t="shared" si="3"/>
        <v>0</v>
      </c>
      <c r="J15" s="99">
        <f t="shared" si="3"/>
        <v>0</v>
      </c>
      <c r="K15" s="99">
        <f t="shared" si="3"/>
        <v>0</v>
      </c>
      <c r="L15" s="99">
        <f t="shared" si="3"/>
        <v>0</v>
      </c>
      <c r="M15" s="99">
        <f t="shared" si="3"/>
        <v>0</v>
      </c>
      <c r="N15" s="99">
        <f t="shared" si="3"/>
        <v>0</v>
      </c>
    </row>
    <row r="16" spans="1:16" ht="15" customHeight="1" x14ac:dyDescent="0.55000000000000004">
      <c r="A16" s="86">
        <v>9</v>
      </c>
      <c r="B16" s="87" t="s">
        <v>482</v>
      </c>
      <c r="C16" s="97">
        <f>'3_Balance_Sheet'!C14+'3_Balance_Sheet'!C15</f>
        <v>0</v>
      </c>
      <c r="D16" s="97">
        <f>'3_Balance_Sheet'!D14+'3_Balance_Sheet'!D15</f>
        <v>0</v>
      </c>
      <c r="E16" s="97">
        <f>'3_Balance_Sheet'!E14+'3_Balance_Sheet'!E15</f>
        <v>0</v>
      </c>
      <c r="F16" s="97">
        <f>'3_Balance_Sheet'!F14+'3_Balance_Sheet'!F15</f>
        <v>0</v>
      </c>
      <c r="G16" s="97">
        <f>'3_Balance_Sheet'!G14+'3_Balance_Sheet'!G15</f>
        <v>0</v>
      </c>
      <c r="H16" s="97">
        <f>'3_Balance_Sheet'!H14+'3_Balance_Sheet'!H15</f>
        <v>0</v>
      </c>
      <c r="I16" s="97">
        <f>'3_Balance_Sheet'!I14+'3_Balance_Sheet'!I15</f>
        <v>0</v>
      </c>
      <c r="J16" s="97">
        <f>'3_Balance_Sheet'!J14+'3_Balance_Sheet'!J15</f>
        <v>0</v>
      </c>
      <c r="K16" s="97">
        <f>'3_Balance_Sheet'!K14+'3_Balance_Sheet'!K15</f>
        <v>0</v>
      </c>
      <c r="L16" s="97">
        <f>'3_Balance_Sheet'!L14+'3_Balance_Sheet'!L15</f>
        <v>0</v>
      </c>
      <c r="M16" s="97">
        <f>'3_Balance_Sheet'!M14+'3_Balance_Sheet'!M15</f>
        <v>0</v>
      </c>
      <c r="N16" s="97">
        <f>'3_Balance_Sheet'!N14+'3_Balance_Sheet'!N15</f>
        <v>0</v>
      </c>
    </row>
    <row r="17" spans="1:16" ht="15" customHeight="1" x14ac:dyDescent="0.55000000000000004">
      <c r="A17" s="86">
        <v>10</v>
      </c>
      <c r="B17" s="87" t="s">
        <v>483</v>
      </c>
      <c r="C17" s="99">
        <f t="shared" ref="C17:N17" si="4">IFERROR(C16/C7,0)</f>
        <v>0</v>
      </c>
      <c r="D17" s="99">
        <f t="shared" si="4"/>
        <v>0</v>
      </c>
      <c r="E17" s="99">
        <f t="shared" si="4"/>
        <v>0</v>
      </c>
      <c r="F17" s="99">
        <f t="shared" si="4"/>
        <v>0</v>
      </c>
      <c r="G17" s="99">
        <f t="shared" si="4"/>
        <v>0</v>
      </c>
      <c r="H17" s="99">
        <f t="shared" si="4"/>
        <v>0</v>
      </c>
      <c r="I17" s="99">
        <f t="shared" si="4"/>
        <v>0</v>
      </c>
      <c r="J17" s="99">
        <f t="shared" si="4"/>
        <v>0</v>
      </c>
      <c r="K17" s="99">
        <f t="shared" si="4"/>
        <v>0</v>
      </c>
      <c r="L17" s="99">
        <f t="shared" si="4"/>
        <v>0</v>
      </c>
      <c r="M17" s="99">
        <f t="shared" si="4"/>
        <v>0</v>
      </c>
      <c r="N17" s="99">
        <f t="shared" si="4"/>
        <v>0</v>
      </c>
    </row>
    <row r="18" spans="1:16" ht="15" customHeight="1" x14ac:dyDescent="0.55000000000000004">
      <c r="A18" s="86">
        <v>11</v>
      </c>
      <c r="B18" s="87" t="s">
        <v>484</v>
      </c>
      <c r="C18" s="99">
        <f t="shared" ref="C18:N18" si="5">IFERROR(C8/C7,0)</f>
        <v>0</v>
      </c>
      <c r="D18" s="99">
        <f t="shared" si="5"/>
        <v>0</v>
      </c>
      <c r="E18" s="99">
        <f t="shared" si="5"/>
        <v>0</v>
      </c>
      <c r="F18" s="99">
        <f t="shared" si="5"/>
        <v>0</v>
      </c>
      <c r="G18" s="99">
        <f t="shared" si="5"/>
        <v>0</v>
      </c>
      <c r="H18" s="99">
        <f t="shared" si="5"/>
        <v>0</v>
      </c>
      <c r="I18" s="99">
        <f t="shared" si="5"/>
        <v>0</v>
      </c>
      <c r="J18" s="99">
        <f t="shared" si="5"/>
        <v>0</v>
      </c>
      <c r="K18" s="99">
        <f t="shared" si="5"/>
        <v>0</v>
      </c>
      <c r="L18" s="99">
        <f t="shared" si="5"/>
        <v>0</v>
      </c>
      <c r="M18" s="99">
        <f t="shared" si="5"/>
        <v>0</v>
      </c>
      <c r="N18" s="99">
        <f t="shared" si="5"/>
        <v>0</v>
      </c>
    </row>
    <row r="19" spans="1:16" ht="19.5" customHeight="1" x14ac:dyDescent="0.55000000000000004">
      <c r="A19" s="310" t="s">
        <v>485</v>
      </c>
      <c r="B19" s="310"/>
      <c r="C19" s="310"/>
      <c r="D19" s="310"/>
      <c r="E19" s="310"/>
      <c r="F19" s="310"/>
      <c r="G19" s="310"/>
      <c r="H19" s="310"/>
      <c r="I19" s="310"/>
      <c r="J19" s="310"/>
      <c r="K19" s="310"/>
      <c r="L19" s="310"/>
      <c r="M19" s="310"/>
      <c r="N19" s="310"/>
      <c r="O19" s="310"/>
      <c r="P19" s="310"/>
    </row>
    <row r="20" spans="1:16" ht="15" customHeight="1" x14ac:dyDescent="0.55000000000000004">
      <c r="A20" s="86">
        <v>12</v>
      </c>
      <c r="B20" s="87" t="s">
        <v>486</v>
      </c>
      <c r="C20" s="100">
        <f>IFERROR('3_Balance_Sheet'!C73*365/'2_Operating_Statement'!C13,0)</f>
        <v>0</v>
      </c>
      <c r="D20" s="100">
        <f>IFERROR('3_Balance_Sheet'!D73*365/'2_Operating_Statement'!D13,0)</f>
        <v>0</v>
      </c>
      <c r="E20" s="100">
        <f>IFERROR('3_Balance_Sheet'!E73*365/'2_Operating_Statement'!E13,0)</f>
        <v>0</v>
      </c>
      <c r="F20" s="100">
        <f>IFERROR('3_Balance_Sheet'!F73*365/'2_Operating_Statement'!F13,0)</f>
        <v>0</v>
      </c>
      <c r="G20" s="100">
        <f>IFERROR('3_Balance_Sheet'!G73*365/'2_Operating_Statement'!G13,0)</f>
        <v>0</v>
      </c>
      <c r="H20" s="100">
        <f>IFERROR('3_Balance_Sheet'!H73*365/'2_Operating_Statement'!H13,0)</f>
        <v>0</v>
      </c>
      <c r="I20" s="100">
        <f>IFERROR('3_Balance_Sheet'!I73*365/'2_Operating_Statement'!I13,0)</f>
        <v>0</v>
      </c>
      <c r="J20" s="100">
        <f>IFERROR('3_Balance_Sheet'!J73*365/'2_Operating_Statement'!J13,0)</f>
        <v>0</v>
      </c>
      <c r="K20" s="100">
        <f>IFERROR('3_Balance_Sheet'!K73*365/'2_Operating_Statement'!K13,0)</f>
        <v>0</v>
      </c>
      <c r="L20" s="100">
        <f>IFERROR('3_Balance_Sheet'!L73*365/'2_Operating_Statement'!L13,0)</f>
        <v>0</v>
      </c>
      <c r="M20" s="100">
        <f>IFERROR('3_Balance_Sheet'!M73*365/'2_Operating_Statement'!M13,0)</f>
        <v>0</v>
      </c>
      <c r="N20" s="100">
        <f>IFERROR('3_Balance_Sheet'!N73*365/'2_Operating_Statement'!N13,0)</f>
        <v>0</v>
      </c>
    </row>
    <row r="21" spans="1:16" ht="15" customHeight="1" x14ac:dyDescent="0.55000000000000004">
      <c r="A21" s="86">
        <v>13</v>
      </c>
      <c r="B21" s="87" t="s">
        <v>487</v>
      </c>
      <c r="C21" s="100">
        <f>IFERROR(('3_Balance_Sheet'!C59+'3_Balance_Sheet'!C60)*365/'2_Operating_Statement'!C10,0)</f>
        <v>0</v>
      </c>
      <c r="D21" s="100">
        <f>IFERROR(('3_Balance_Sheet'!D59+'3_Balance_Sheet'!D60)*365/'2_Operating_Statement'!D10,0)</f>
        <v>0</v>
      </c>
      <c r="E21" s="100">
        <f>IFERROR(('3_Balance_Sheet'!E59+'3_Balance_Sheet'!E60)*365/'2_Operating_Statement'!E10,0)</f>
        <v>0</v>
      </c>
      <c r="F21" s="100">
        <f>IFERROR(('3_Balance_Sheet'!F59+'3_Balance_Sheet'!F60)*365/'2_Operating_Statement'!F10,0)</f>
        <v>0</v>
      </c>
      <c r="G21" s="100">
        <f>IFERROR(('3_Balance_Sheet'!G59+'3_Balance_Sheet'!G60)*365/'2_Operating_Statement'!G10,0)</f>
        <v>0</v>
      </c>
      <c r="H21" s="100">
        <f>IFERROR(('3_Balance_Sheet'!H59+'3_Balance_Sheet'!H60)*365/'2_Operating_Statement'!H10,0)</f>
        <v>0</v>
      </c>
      <c r="I21" s="100">
        <f>IFERROR(('3_Balance_Sheet'!I59+'3_Balance_Sheet'!I60)*365/'2_Operating_Statement'!I10,0)</f>
        <v>0</v>
      </c>
      <c r="J21" s="100">
        <f>IFERROR(('3_Balance_Sheet'!J59+'3_Balance_Sheet'!J60)*365/'2_Operating_Statement'!J10,0)</f>
        <v>0</v>
      </c>
      <c r="K21" s="100">
        <f>IFERROR(('3_Balance_Sheet'!K59+'3_Balance_Sheet'!K60)*365/'2_Operating_Statement'!K10,0)</f>
        <v>0</v>
      </c>
      <c r="L21" s="100">
        <f>IFERROR(('3_Balance_Sheet'!L59+'3_Balance_Sheet'!L60)*365/'2_Operating_Statement'!L10,0)</f>
        <v>0</v>
      </c>
      <c r="M21" s="100">
        <f>IFERROR(('3_Balance_Sheet'!M59+'3_Balance_Sheet'!M60)*365/'2_Operating_Statement'!M10,0)</f>
        <v>0</v>
      </c>
      <c r="N21" s="100">
        <f>IFERROR(('3_Balance_Sheet'!N59+'3_Balance_Sheet'!N60)*365/'2_Operating_Statement'!N10,0)</f>
        <v>0</v>
      </c>
    </row>
    <row r="22" spans="1:16" ht="15" customHeight="1" x14ac:dyDescent="0.55000000000000004">
      <c r="A22" s="86">
        <v>14</v>
      </c>
      <c r="B22" s="87" t="s">
        <v>488</v>
      </c>
      <c r="C22" s="100">
        <f>IFERROR(C16*365/('2_Operating_Statement'!C17+'2_Operating_Statement'!C20),0)</f>
        <v>0</v>
      </c>
      <c r="D22" s="100">
        <f>IFERROR(D16*365/('2_Operating_Statement'!D17+'2_Operating_Statement'!D20),0)</f>
        <v>0</v>
      </c>
      <c r="E22" s="100">
        <f>IFERROR(E16*365/('2_Operating_Statement'!E17+'2_Operating_Statement'!E20),0)</f>
        <v>0</v>
      </c>
      <c r="F22" s="100">
        <f>IFERROR(F16*365/('2_Operating_Statement'!F17+'2_Operating_Statement'!F20),0)</f>
        <v>0</v>
      </c>
      <c r="G22" s="100">
        <f>IFERROR(G16*365/('2_Operating_Statement'!G17+'2_Operating_Statement'!G20),0)</f>
        <v>0</v>
      </c>
      <c r="H22" s="100">
        <f>IFERROR(H16*365/('2_Operating_Statement'!H17+'2_Operating_Statement'!H20),0)</f>
        <v>0</v>
      </c>
      <c r="I22" s="100">
        <f>IFERROR(I16*365/('2_Operating_Statement'!I17+'2_Operating_Statement'!I20),0)</f>
        <v>0</v>
      </c>
      <c r="J22" s="100">
        <f>IFERROR(J16*365/('2_Operating_Statement'!J17+'2_Operating_Statement'!J20),0)</f>
        <v>0</v>
      </c>
      <c r="K22" s="100">
        <f>IFERROR(K16*365/('2_Operating_Statement'!K17+'2_Operating_Statement'!K20),0)</f>
        <v>0</v>
      </c>
      <c r="L22" s="100">
        <f>IFERROR(L16*365/('2_Operating_Statement'!L17+'2_Operating_Statement'!L20),0)</f>
        <v>0</v>
      </c>
      <c r="M22" s="100">
        <f>IFERROR(M16*365/('2_Operating_Statement'!M17+'2_Operating_Statement'!M20),0)</f>
        <v>0</v>
      </c>
      <c r="N22" s="100">
        <f>IFERROR(N16*365/('2_Operating_Statement'!N17+'2_Operating_Statement'!N20),0)</f>
        <v>0</v>
      </c>
    </row>
    <row r="23" spans="1:16" ht="19.5" customHeight="1" x14ac:dyDescent="0.55000000000000004">
      <c r="A23" s="310" t="s">
        <v>489</v>
      </c>
      <c r="B23" s="310"/>
      <c r="C23" s="310"/>
      <c r="D23" s="310"/>
      <c r="E23" s="310"/>
      <c r="F23" s="310"/>
      <c r="G23" s="310"/>
      <c r="H23" s="310"/>
      <c r="I23" s="310"/>
      <c r="J23" s="310"/>
      <c r="K23" s="310"/>
      <c r="L23" s="310"/>
      <c r="M23" s="310"/>
      <c r="N23" s="310"/>
      <c r="O23" s="310"/>
      <c r="P23" s="310"/>
    </row>
    <row r="24" spans="1:16" ht="15" customHeight="1" x14ac:dyDescent="0.55000000000000004">
      <c r="B24" s="49" t="s">
        <v>490</v>
      </c>
      <c r="O24" s="101" t="str">
        <f>IFERROR((INDEX(C11:N11,1,LatestAudCol)-INDEX(C11:N11,1,PriorAudCol))/ABS(INDEX(C11:N11,1,PriorAudCol)),"")</f>
        <v/>
      </c>
      <c r="P24" s="102" t="str">
        <f>IF(O24="","",IF(O24&lt;MaxNWCErosion,"⚠ NWC eroded by "&amp;TEXT(ABS(O24),"0.0%")&amp;" — exceeds tolerance of "&amp;TEXT(ABS(MaxNWCErosion),"0.0%"),"✓ NWC stable / improved"))</f>
        <v/>
      </c>
    </row>
  </sheetData>
  <mergeCells count="6">
    <mergeCell ref="A23:P23"/>
    <mergeCell ref="A1:P1"/>
    <mergeCell ref="A2:P2"/>
    <mergeCell ref="A6:P6"/>
    <mergeCell ref="A13:P13"/>
    <mergeCell ref="A19:P19"/>
  </mergeCells>
  <conditionalFormatting sqref="C4:C24">
    <cfRule type="expression" dxfId="64" priority="2">
      <formula>1&gt;TotalCols</formula>
    </cfRule>
  </conditionalFormatting>
  <conditionalFormatting sqref="D4:D24">
    <cfRule type="expression" dxfId="63" priority="3">
      <formula>2&gt;TotalCols</formula>
    </cfRule>
  </conditionalFormatting>
  <conditionalFormatting sqref="E4:E24">
    <cfRule type="expression" dxfId="62" priority="4">
      <formula>3&gt;TotalCols</formula>
    </cfRule>
  </conditionalFormatting>
  <conditionalFormatting sqref="F4:F24">
    <cfRule type="expression" dxfId="61" priority="5">
      <formula>4&gt;TotalCols</formula>
    </cfRule>
  </conditionalFormatting>
  <conditionalFormatting sqref="G4:G24">
    <cfRule type="expression" dxfId="60" priority="6">
      <formula>5&gt;TotalCols</formula>
    </cfRule>
  </conditionalFormatting>
  <conditionalFormatting sqref="H4:H24">
    <cfRule type="expression" dxfId="59" priority="7">
      <formula>6&gt;TotalCols</formula>
    </cfRule>
  </conditionalFormatting>
  <conditionalFormatting sqref="I4:I24">
    <cfRule type="expression" dxfId="58" priority="8">
      <formula>7&gt;TotalCols</formula>
    </cfRule>
  </conditionalFormatting>
  <conditionalFormatting sqref="J4:J24">
    <cfRule type="expression" dxfId="57" priority="9">
      <formula>8&gt;TotalCols</formula>
    </cfRule>
  </conditionalFormatting>
  <conditionalFormatting sqref="K4:K24">
    <cfRule type="expression" dxfId="56" priority="10">
      <formula>9&gt;TotalCols</formula>
    </cfRule>
  </conditionalFormatting>
  <conditionalFormatting sqref="L4:L24">
    <cfRule type="expression" dxfId="55" priority="11">
      <formula>10&gt;TotalCols</formula>
    </cfRule>
  </conditionalFormatting>
  <conditionalFormatting sqref="M4:M24">
    <cfRule type="expression" dxfId="54" priority="12">
      <formula>11&gt;TotalCols</formula>
    </cfRule>
  </conditionalFormatting>
  <conditionalFormatting sqref="N4:N24">
    <cfRule type="expression" dxfId="53" priority="13">
      <formula>12&gt;TotalCols</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P30"/>
  <sheetViews>
    <sheetView zoomScaleNormal="100" workbookViewId="0"/>
  </sheetViews>
  <sheetFormatPr defaultColWidth="8.68359375" defaultRowHeight="14.4" x14ac:dyDescent="0.55000000000000004"/>
  <cols>
    <col min="1" max="1" width="6" customWidth="1"/>
    <col min="2" max="2" width="50" customWidth="1"/>
    <col min="3" max="15" width="12" customWidth="1"/>
    <col min="16" max="16" width="35" customWidth="1"/>
  </cols>
  <sheetData>
    <row r="1" spans="1:16" ht="24" customHeight="1" x14ac:dyDescent="0.55000000000000004">
      <c r="A1" s="294" t="str">
        <f>CONCATENATE("FUNDS FLOW STATEMENT  |  ₹ Crores  |  ", BorrowerName)</f>
        <v xml:space="preserve">FUNDS FLOW STATEMENT  |  ₹ Crores  |  </v>
      </c>
      <c r="B1" s="294"/>
      <c r="C1" s="294"/>
      <c r="D1" s="294"/>
      <c r="E1" s="294"/>
      <c r="F1" s="294"/>
      <c r="G1" s="294"/>
      <c r="H1" s="294"/>
      <c r="I1" s="294"/>
      <c r="J1" s="294"/>
      <c r="K1" s="294"/>
      <c r="L1" s="294"/>
      <c r="M1" s="294"/>
      <c r="N1" s="294"/>
      <c r="O1" s="294"/>
      <c r="P1" s="294"/>
    </row>
    <row r="2" spans="1:16" ht="15" customHeight="1" x14ac:dyDescent="0.55000000000000004">
      <c r="A2" s="295" t="s">
        <v>491</v>
      </c>
      <c r="B2" s="295"/>
      <c r="C2" s="295"/>
      <c r="D2" s="295"/>
      <c r="E2" s="295"/>
      <c r="F2" s="295"/>
      <c r="G2" s="295"/>
      <c r="H2" s="295"/>
      <c r="I2" s="295"/>
      <c r="J2" s="295"/>
      <c r="K2" s="295"/>
      <c r="L2" s="295"/>
      <c r="M2" s="295"/>
      <c r="N2" s="295"/>
      <c r="O2" s="295"/>
      <c r="P2" s="295"/>
    </row>
    <row r="3" spans="1:16" ht="30" customHeight="1" x14ac:dyDescent="0.55000000000000004">
      <c r="A3" s="79" t="s">
        <v>251</v>
      </c>
      <c r="B3" s="79" t="s">
        <v>252</v>
      </c>
      <c r="C3" s="80" t="s">
        <v>253</v>
      </c>
      <c r="D3" s="80" t="s">
        <v>254</v>
      </c>
      <c r="E3" s="80" t="s">
        <v>255</v>
      </c>
      <c r="F3" s="80" t="s">
        <v>256</v>
      </c>
      <c r="G3" s="80" t="s">
        <v>257</v>
      </c>
      <c r="H3" s="80" t="s">
        <v>258</v>
      </c>
      <c r="I3" s="80" t="s">
        <v>259</v>
      </c>
      <c r="J3" s="80" t="s">
        <v>260</v>
      </c>
      <c r="K3" s="80" t="s">
        <v>261</v>
      </c>
      <c r="L3" s="80" t="s">
        <v>262</v>
      </c>
      <c r="M3" s="80" t="s">
        <v>263</v>
      </c>
      <c r="N3" s="80" t="s">
        <v>264</v>
      </c>
      <c r="O3" s="81" t="s">
        <v>265</v>
      </c>
      <c r="P3" s="81" t="s">
        <v>266</v>
      </c>
    </row>
    <row r="4" spans="1:16" ht="18"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5" spans="1:16" ht="15" customHeight="1" x14ac:dyDescent="0.55000000000000004">
      <c r="B5" s="84" t="s">
        <v>268</v>
      </c>
      <c r="C5" s="85" t="str">
        <f>INDEX('0_Setup'!$C$48:$C$59,1)</f>
        <v>Audited</v>
      </c>
      <c r="D5" s="85" t="str">
        <f>INDEX('0_Setup'!$C$48:$C$59,2)</f>
        <v>Audited</v>
      </c>
      <c r="E5" s="85" t="str">
        <f>INDEX('0_Setup'!$C$48:$C$59,3)</f>
        <v>Estimated</v>
      </c>
      <c r="F5" s="85" t="str">
        <f>INDEX('0_Setup'!$C$48:$C$59,4)</f>
        <v>Audited/Provisional</v>
      </c>
      <c r="G5" s="85" t="str">
        <f>INDEX('0_Setup'!$C$48:$C$59,5)</f>
        <v>Estimated</v>
      </c>
      <c r="H5" s="85" t="str">
        <f>INDEX('0_Setup'!$C$48:$C$59,6)</f>
        <v>Projected</v>
      </c>
      <c r="I5" s="85" t="str">
        <f>INDEX('0_Setup'!$C$48:$C$59,7)</f>
        <v>Projected</v>
      </c>
      <c r="J5" s="85" t="str">
        <f>INDEX('0_Setup'!$C$48:$C$59,8)</f>
        <v>Projected</v>
      </c>
      <c r="K5" s="85" t="str">
        <f>INDEX('0_Setup'!$C$48:$C$59,9)</f>
        <v>Projected</v>
      </c>
      <c r="L5" s="85" t="str">
        <f>INDEX('0_Setup'!$C$48:$C$59,10)</f>
        <v/>
      </c>
      <c r="M5" s="85" t="str">
        <f>INDEX('0_Setup'!$C$48:$C$59,11)</f>
        <v/>
      </c>
      <c r="N5" s="85" t="str">
        <f>INDEX('0_Setup'!$C$48:$C$59,12)</f>
        <v/>
      </c>
    </row>
    <row r="6" spans="1:16" ht="19.5" customHeight="1" x14ac:dyDescent="0.55000000000000004">
      <c r="A6" s="310" t="s">
        <v>492</v>
      </c>
      <c r="B6" s="310"/>
      <c r="C6" s="310"/>
      <c r="D6" s="310"/>
      <c r="E6" s="310"/>
      <c r="F6" s="310"/>
      <c r="G6" s="310"/>
      <c r="H6" s="310"/>
      <c r="I6" s="310"/>
      <c r="J6" s="310"/>
      <c r="K6" s="310"/>
      <c r="L6" s="310"/>
      <c r="M6" s="310"/>
      <c r="N6" s="310"/>
      <c r="O6" s="310"/>
      <c r="P6" s="310"/>
    </row>
    <row r="7" spans="1:16" ht="15" customHeight="1" x14ac:dyDescent="0.55000000000000004">
      <c r="A7" s="86">
        <v>1</v>
      </c>
      <c r="B7" s="89" t="s">
        <v>493</v>
      </c>
      <c r="C7" s="90">
        <f>'4_DSCR'!C7</f>
        <v>0</v>
      </c>
      <c r="D7" s="90">
        <f>'4_DSCR'!D7</f>
        <v>0</v>
      </c>
      <c r="E7" s="90">
        <f>'4_DSCR'!E7</f>
        <v>0</v>
      </c>
      <c r="F7" s="90">
        <f>'4_DSCR'!F7</f>
        <v>0</v>
      </c>
      <c r="G7" s="90">
        <f>'4_DSCR'!G7</f>
        <v>0</v>
      </c>
      <c r="H7" s="90">
        <f>'4_DSCR'!H7</f>
        <v>0</v>
      </c>
      <c r="I7" s="90">
        <f>'4_DSCR'!I7</f>
        <v>0</v>
      </c>
      <c r="J7" s="90">
        <f>'4_DSCR'!J7</f>
        <v>0</v>
      </c>
      <c r="K7" s="90">
        <f>'4_DSCR'!K7</f>
        <v>0</v>
      </c>
      <c r="L7" s="90">
        <f>'4_DSCR'!L7</f>
        <v>0</v>
      </c>
      <c r="M7" s="90">
        <f>'4_DSCR'!M7</f>
        <v>0</v>
      </c>
      <c r="N7" s="90">
        <f>'4_DSCR'!N7</f>
        <v>0</v>
      </c>
    </row>
    <row r="8" spans="1:16" ht="15" customHeight="1" x14ac:dyDescent="0.55000000000000004">
      <c r="A8" s="86">
        <v>2</v>
      </c>
      <c r="B8" s="87" t="s">
        <v>494</v>
      </c>
      <c r="C8" s="88"/>
      <c r="D8" s="88"/>
      <c r="E8" s="88"/>
      <c r="F8" s="88"/>
      <c r="G8" s="88"/>
      <c r="H8" s="88"/>
      <c r="I8" s="88"/>
      <c r="J8" s="88"/>
      <c r="K8" s="88"/>
      <c r="L8" s="88"/>
      <c r="M8" s="88"/>
      <c r="N8" s="88"/>
    </row>
    <row r="9" spans="1:16" ht="15" customHeight="1" x14ac:dyDescent="0.55000000000000004">
      <c r="A9" s="86">
        <v>3</v>
      </c>
      <c r="B9" s="87" t="s">
        <v>495</v>
      </c>
      <c r="C9" s="88"/>
      <c r="D9" s="88"/>
      <c r="E9" s="88"/>
      <c r="F9" s="88"/>
      <c r="G9" s="88"/>
      <c r="H9" s="88"/>
      <c r="I9" s="88"/>
      <c r="J9" s="88"/>
      <c r="K9" s="88"/>
      <c r="L9" s="88"/>
      <c r="M9" s="88"/>
      <c r="N9" s="88"/>
    </row>
    <row r="10" spans="1:16" ht="15" customHeight="1" x14ac:dyDescent="0.55000000000000004">
      <c r="A10" s="86">
        <v>4</v>
      </c>
      <c r="B10" s="87" t="s">
        <v>496</v>
      </c>
      <c r="C10" s="88"/>
      <c r="D10" s="88"/>
      <c r="E10" s="88"/>
      <c r="F10" s="88"/>
      <c r="G10" s="88"/>
      <c r="H10" s="88"/>
      <c r="I10" s="88"/>
      <c r="J10" s="88"/>
      <c r="K10" s="88"/>
      <c r="L10" s="88"/>
      <c r="M10" s="88"/>
      <c r="N10" s="88"/>
    </row>
    <row r="11" spans="1:16" ht="15" customHeight="1" x14ac:dyDescent="0.55000000000000004">
      <c r="A11" s="86">
        <v>5</v>
      </c>
      <c r="B11" s="87" t="s">
        <v>497</v>
      </c>
      <c r="C11" s="88"/>
      <c r="D11" s="88"/>
      <c r="E11" s="88"/>
      <c r="F11" s="88"/>
      <c r="G11" s="88"/>
      <c r="H11" s="88"/>
      <c r="I11" s="88"/>
      <c r="J11" s="88"/>
      <c r="K11" s="88"/>
      <c r="L11" s="88"/>
      <c r="M11" s="88"/>
      <c r="N11" s="88"/>
    </row>
    <row r="12" spans="1:16" ht="15" customHeight="1" x14ac:dyDescent="0.55000000000000004">
      <c r="A12" s="86">
        <v>6</v>
      </c>
      <c r="B12" s="87" t="s">
        <v>498</v>
      </c>
      <c r="C12" s="88"/>
      <c r="D12" s="88"/>
      <c r="E12" s="88"/>
      <c r="F12" s="88"/>
      <c r="G12" s="88"/>
      <c r="H12" s="88"/>
      <c r="I12" s="88"/>
      <c r="J12" s="88"/>
      <c r="K12" s="88"/>
      <c r="L12" s="88"/>
      <c r="M12" s="88"/>
      <c r="N12" s="88"/>
    </row>
    <row r="13" spans="1:16" ht="15" customHeight="1" x14ac:dyDescent="0.55000000000000004">
      <c r="A13" s="86">
        <v>7</v>
      </c>
      <c r="B13" s="89" t="s">
        <v>499</v>
      </c>
      <c r="C13" s="90">
        <f t="shared" ref="C13:N13" si="0">C7+SUM(C8:C12)</f>
        <v>0</v>
      </c>
      <c r="D13" s="90">
        <f t="shared" si="0"/>
        <v>0</v>
      </c>
      <c r="E13" s="90">
        <f t="shared" si="0"/>
        <v>0</v>
      </c>
      <c r="F13" s="90">
        <f t="shared" si="0"/>
        <v>0</v>
      </c>
      <c r="G13" s="90">
        <f t="shared" si="0"/>
        <v>0</v>
      </c>
      <c r="H13" s="90">
        <f t="shared" si="0"/>
        <v>0</v>
      </c>
      <c r="I13" s="90">
        <f t="shared" si="0"/>
        <v>0</v>
      </c>
      <c r="J13" s="90">
        <f t="shared" si="0"/>
        <v>0</v>
      </c>
      <c r="K13" s="90">
        <f t="shared" si="0"/>
        <v>0</v>
      </c>
      <c r="L13" s="90">
        <f t="shared" si="0"/>
        <v>0</v>
      </c>
      <c r="M13" s="90">
        <f t="shared" si="0"/>
        <v>0</v>
      </c>
      <c r="N13" s="90">
        <f t="shared" si="0"/>
        <v>0</v>
      </c>
    </row>
    <row r="14" spans="1:16" ht="19.5" customHeight="1" x14ac:dyDescent="0.55000000000000004">
      <c r="A14" s="310" t="s">
        <v>500</v>
      </c>
      <c r="B14" s="310"/>
      <c r="C14" s="310"/>
      <c r="D14" s="310"/>
      <c r="E14" s="310"/>
      <c r="F14" s="310"/>
      <c r="G14" s="310"/>
      <c r="H14" s="310"/>
      <c r="I14" s="310"/>
      <c r="J14" s="310"/>
      <c r="K14" s="310"/>
      <c r="L14" s="310"/>
      <c r="M14" s="310"/>
      <c r="N14" s="310"/>
      <c r="O14" s="310"/>
      <c r="P14" s="310"/>
    </row>
    <row r="15" spans="1:16" ht="15" customHeight="1" x14ac:dyDescent="0.55000000000000004">
      <c r="A15" s="86">
        <v>8</v>
      </c>
      <c r="B15" s="87" t="s">
        <v>501</v>
      </c>
      <c r="C15" s="97">
        <f t="shared" ref="C15:N15" si="1">IF(C7&lt;0,-C7,0)</f>
        <v>0</v>
      </c>
      <c r="D15" s="97">
        <f t="shared" si="1"/>
        <v>0</v>
      </c>
      <c r="E15" s="97">
        <f t="shared" si="1"/>
        <v>0</v>
      </c>
      <c r="F15" s="97">
        <f t="shared" si="1"/>
        <v>0</v>
      </c>
      <c r="G15" s="97">
        <f t="shared" si="1"/>
        <v>0</v>
      </c>
      <c r="H15" s="97">
        <f t="shared" si="1"/>
        <v>0</v>
      </c>
      <c r="I15" s="97">
        <f t="shared" si="1"/>
        <v>0</v>
      </c>
      <c r="J15" s="97">
        <f t="shared" si="1"/>
        <v>0</v>
      </c>
      <c r="K15" s="97">
        <f t="shared" si="1"/>
        <v>0</v>
      </c>
      <c r="L15" s="97">
        <f t="shared" si="1"/>
        <v>0</v>
      </c>
      <c r="M15" s="97">
        <f t="shared" si="1"/>
        <v>0</v>
      </c>
      <c r="N15" s="97">
        <f t="shared" si="1"/>
        <v>0</v>
      </c>
    </row>
    <row r="16" spans="1:16" ht="15" customHeight="1" x14ac:dyDescent="0.55000000000000004">
      <c r="A16" s="86">
        <v>9</v>
      </c>
      <c r="B16" s="87" t="s">
        <v>502</v>
      </c>
      <c r="C16" s="88"/>
      <c r="D16" s="88"/>
      <c r="E16" s="88"/>
      <c r="F16" s="88"/>
      <c r="G16" s="88"/>
      <c r="H16" s="88"/>
      <c r="I16" s="88"/>
      <c r="J16" s="88"/>
      <c r="K16" s="88"/>
      <c r="L16" s="88"/>
      <c r="M16" s="88"/>
      <c r="N16" s="88"/>
    </row>
    <row r="17" spans="1:16" ht="15" customHeight="1" x14ac:dyDescent="0.55000000000000004">
      <c r="A17" s="86">
        <v>10</v>
      </c>
      <c r="B17" s="87" t="s">
        <v>503</v>
      </c>
      <c r="C17" s="88"/>
      <c r="D17" s="88"/>
      <c r="E17" s="88"/>
      <c r="F17" s="88"/>
      <c r="G17" s="88"/>
      <c r="H17" s="88"/>
      <c r="I17" s="88"/>
      <c r="J17" s="88"/>
      <c r="K17" s="88"/>
      <c r="L17" s="88"/>
      <c r="M17" s="88"/>
      <c r="N17" s="88"/>
    </row>
    <row r="18" spans="1:16" ht="15" customHeight="1" x14ac:dyDescent="0.55000000000000004">
      <c r="A18" s="86">
        <v>11</v>
      </c>
      <c r="B18" s="87" t="s">
        <v>504</v>
      </c>
      <c r="C18" s="88"/>
      <c r="D18" s="88"/>
      <c r="E18" s="88"/>
      <c r="F18" s="88"/>
      <c r="G18" s="88"/>
      <c r="H18" s="88"/>
      <c r="I18" s="88"/>
      <c r="J18" s="88"/>
      <c r="K18" s="88"/>
      <c r="L18" s="88"/>
      <c r="M18" s="88"/>
      <c r="N18" s="88"/>
    </row>
    <row r="19" spans="1:16" ht="15" customHeight="1" x14ac:dyDescent="0.55000000000000004">
      <c r="A19" s="86">
        <v>12</v>
      </c>
      <c r="B19" s="87" t="s">
        <v>505</v>
      </c>
      <c r="C19" s="88"/>
      <c r="D19" s="88"/>
      <c r="E19" s="88"/>
      <c r="F19" s="88"/>
      <c r="G19" s="88"/>
      <c r="H19" s="88"/>
      <c r="I19" s="88"/>
      <c r="J19" s="88"/>
      <c r="K19" s="88"/>
      <c r="L19" s="88"/>
      <c r="M19" s="88"/>
      <c r="N19" s="88"/>
    </row>
    <row r="20" spans="1:16" ht="15" customHeight="1" x14ac:dyDescent="0.55000000000000004">
      <c r="A20" s="86">
        <v>13</v>
      </c>
      <c r="B20" s="87" t="s">
        <v>506</v>
      </c>
      <c r="C20" s="88"/>
      <c r="D20" s="88"/>
      <c r="E20" s="88"/>
      <c r="F20" s="88"/>
      <c r="G20" s="88"/>
      <c r="H20" s="88"/>
      <c r="I20" s="88"/>
      <c r="J20" s="88"/>
      <c r="K20" s="88"/>
      <c r="L20" s="88"/>
      <c r="M20" s="88"/>
      <c r="N20" s="88"/>
    </row>
    <row r="21" spans="1:16" ht="15" customHeight="1" x14ac:dyDescent="0.55000000000000004">
      <c r="A21" s="86">
        <v>14</v>
      </c>
      <c r="B21" s="89" t="s">
        <v>507</v>
      </c>
      <c r="C21" s="90">
        <f t="shared" ref="C21:N21" si="2">SUM(C15:C20)</f>
        <v>0</v>
      </c>
      <c r="D21" s="90">
        <f t="shared" si="2"/>
        <v>0</v>
      </c>
      <c r="E21" s="90">
        <f t="shared" si="2"/>
        <v>0</v>
      </c>
      <c r="F21" s="90">
        <f t="shared" si="2"/>
        <v>0</v>
      </c>
      <c r="G21" s="90">
        <f t="shared" si="2"/>
        <v>0</v>
      </c>
      <c r="H21" s="90">
        <f t="shared" si="2"/>
        <v>0</v>
      </c>
      <c r="I21" s="90">
        <f t="shared" si="2"/>
        <v>0</v>
      </c>
      <c r="J21" s="90">
        <f t="shared" si="2"/>
        <v>0</v>
      </c>
      <c r="K21" s="90">
        <f t="shared" si="2"/>
        <v>0</v>
      </c>
      <c r="L21" s="90">
        <f t="shared" si="2"/>
        <v>0</v>
      </c>
      <c r="M21" s="90">
        <f t="shared" si="2"/>
        <v>0</v>
      </c>
      <c r="N21" s="90">
        <f t="shared" si="2"/>
        <v>0</v>
      </c>
    </row>
    <row r="22" spans="1:16" ht="15" customHeight="1" x14ac:dyDescent="0.55000000000000004">
      <c r="A22" s="86">
        <v>15</v>
      </c>
      <c r="B22" s="89" t="s">
        <v>508</v>
      </c>
      <c r="C22" s="90">
        <f t="shared" ref="C22:N22" si="3">C13-C21</f>
        <v>0</v>
      </c>
      <c r="D22" s="90">
        <f t="shared" si="3"/>
        <v>0</v>
      </c>
      <c r="E22" s="90">
        <f t="shared" si="3"/>
        <v>0</v>
      </c>
      <c r="F22" s="90">
        <f t="shared" si="3"/>
        <v>0</v>
      </c>
      <c r="G22" s="90">
        <f t="shared" si="3"/>
        <v>0</v>
      </c>
      <c r="H22" s="90">
        <f t="shared" si="3"/>
        <v>0</v>
      </c>
      <c r="I22" s="90">
        <f t="shared" si="3"/>
        <v>0</v>
      </c>
      <c r="J22" s="90">
        <f t="shared" si="3"/>
        <v>0</v>
      </c>
      <c r="K22" s="90">
        <f t="shared" si="3"/>
        <v>0</v>
      </c>
      <c r="L22" s="90">
        <f t="shared" si="3"/>
        <v>0</v>
      </c>
      <c r="M22" s="90">
        <f t="shared" si="3"/>
        <v>0</v>
      </c>
      <c r="N22" s="90">
        <f t="shared" si="3"/>
        <v>0</v>
      </c>
    </row>
    <row r="23" spans="1:16" ht="19.5" customHeight="1" x14ac:dyDescent="0.55000000000000004">
      <c r="A23" s="310" t="s">
        <v>509</v>
      </c>
      <c r="B23" s="310"/>
      <c r="C23" s="310"/>
      <c r="D23" s="310"/>
      <c r="E23" s="310"/>
      <c r="F23" s="310"/>
      <c r="G23" s="310"/>
      <c r="H23" s="310"/>
      <c r="I23" s="310"/>
      <c r="J23" s="310"/>
      <c r="K23" s="310"/>
      <c r="L23" s="310"/>
      <c r="M23" s="310"/>
      <c r="N23" s="310"/>
      <c r="O23" s="310"/>
      <c r="P23" s="310"/>
    </row>
    <row r="24" spans="1:16" ht="15" customHeight="1" x14ac:dyDescent="0.55000000000000004">
      <c r="A24" s="86">
        <v>16</v>
      </c>
      <c r="B24" s="87" t="s">
        <v>510</v>
      </c>
      <c r="C24" s="88"/>
      <c r="D24" s="88"/>
      <c r="E24" s="88"/>
      <c r="F24" s="88"/>
      <c r="G24" s="88"/>
      <c r="H24" s="88"/>
      <c r="I24" s="88"/>
      <c r="J24" s="88"/>
      <c r="K24" s="88"/>
      <c r="L24" s="88"/>
      <c r="M24" s="88"/>
      <c r="N24" s="88"/>
    </row>
    <row r="25" spans="1:16" ht="15" customHeight="1" x14ac:dyDescent="0.55000000000000004">
      <c r="A25" s="86">
        <v>17</v>
      </c>
      <c r="B25" s="87" t="s">
        <v>511</v>
      </c>
      <c r="C25" s="88"/>
      <c r="D25" s="88"/>
      <c r="E25" s="88"/>
      <c r="F25" s="88"/>
      <c r="G25" s="88"/>
      <c r="H25" s="88"/>
      <c r="I25" s="88"/>
      <c r="J25" s="88"/>
      <c r="K25" s="88"/>
      <c r="L25" s="88"/>
      <c r="M25" s="88"/>
      <c r="N25" s="88"/>
    </row>
    <row r="26" spans="1:16" ht="15" customHeight="1" x14ac:dyDescent="0.55000000000000004">
      <c r="A26" s="86">
        <v>18</v>
      </c>
      <c r="B26" s="89" t="s">
        <v>512</v>
      </c>
      <c r="C26" s="90">
        <f t="shared" ref="C26:N26" si="4">C24-C25</f>
        <v>0</v>
      </c>
      <c r="D26" s="90">
        <f t="shared" si="4"/>
        <v>0</v>
      </c>
      <c r="E26" s="90">
        <f t="shared" si="4"/>
        <v>0</v>
      </c>
      <c r="F26" s="90">
        <f t="shared" si="4"/>
        <v>0</v>
      </c>
      <c r="G26" s="90">
        <f t="shared" si="4"/>
        <v>0</v>
      </c>
      <c r="H26" s="90">
        <f t="shared" si="4"/>
        <v>0</v>
      </c>
      <c r="I26" s="90">
        <f t="shared" si="4"/>
        <v>0</v>
      </c>
      <c r="J26" s="90">
        <f t="shared" si="4"/>
        <v>0</v>
      </c>
      <c r="K26" s="90">
        <f t="shared" si="4"/>
        <v>0</v>
      </c>
      <c r="L26" s="90">
        <f t="shared" si="4"/>
        <v>0</v>
      </c>
      <c r="M26" s="90">
        <f t="shared" si="4"/>
        <v>0</v>
      </c>
      <c r="N26" s="90">
        <f t="shared" si="4"/>
        <v>0</v>
      </c>
    </row>
    <row r="27" spans="1:16" ht="15" customHeight="1" x14ac:dyDescent="0.55000000000000004">
      <c r="A27" s="86">
        <v>19</v>
      </c>
      <c r="B27" s="89" t="s">
        <v>513</v>
      </c>
      <c r="C27" s="90">
        <f t="shared" ref="C27:N27" si="5">C22-C26</f>
        <v>0</v>
      </c>
      <c r="D27" s="90">
        <f t="shared" si="5"/>
        <v>0</v>
      </c>
      <c r="E27" s="90">
        <f t="shared" si="5"/>
        <v>0</v>
      </c>
      <c r="F27" s="90">
        <f t="shared" si="5"/>
        <v>0</v>
      </c>
      <c r="G27" s="90">
        <f t="shared" si="5"/>
        <v>0</v>
      </c>
      <c r="H27" s="90">
        <f t="shared" si="5"/>
        <v>0</v>
      </c>
      <c r="I27" s="90">
        <f t="shared" si="5"/>
        <v>0</v>
      </c>
      <c r="J27" s="90">
        <f t="shared" si="5"/>
        <v>0</v>
      </c>
      <c r="K27" s="90">
        <f t="shared" si="5"/>
        <v>0</v>
      </c>
      <c r="L27" s="90">
        <f t="shared" si="5"/>
        <v>0</v>
      </c>
      <c r="M27" s="90">
        <f t="shared" si="5"/>
        <v>0</v>
      </c>
      <c r="N27" s="90">
        <f t="shared" si="5"/>
        <v>0</v>
      </c>
    </row>
    <row r="28" spans="1:16" ht="23.25" customHeight="1" x14ac:dyDescent="0.55000000000000004">
      <c r="A28" s="86">
        <v>20</v>
      </c>
      <c r="B28" s="87" t="s">
        <v>514</v>
      </c>
      <c r="C28" s="88"/>
      <c r="D28" s="88"/>
      <c r="E28" s="88"/>
      <c r="F28" s="88"/>
      <c r="G28" s="88"/>
      <c r="H28" s="88"/>
      <c r="I28" s="88"/>
      <c r="J28" s="88"/>
      <c r="K28" s="88"/>
      <c r="L28" s="88"/>
      <c r="M28" s="88"/>
      <c r="N28" s="88"/>
      <c r="P28" s="103" t="str">
        <f>IF(ABS(INDEX(C27:N27,1,LatestAudCol)+INDEX(C28:N28,1,LatestAudCol))&lt;0.5,"✓ Net Surplus tallies with Bank Borrowing change","⚠ Mismatch — investigate")</f>
        <v>✓ Net Surplus tallies with Bank Borrowing change</v>
      </c>
    </row>
    <row r="29" spans="1:16" ht="19.5" customHeight="1" x14ac:dyDescent="0.55000000000000004">
      <c r="A29" s="310" t="s">
        <v>515</v>
      </c>
      <c r="B29" s="310"/>
      <c r="C29" s="310"/>
      <c r="D29" s="310"/>
      <c r="E29" s="310"/>
      <c r="F29" s="310"/>
      <c r="G29" s="310"/>
      <c r="H29" s="310"/>
      <c r="I29" s="310"/>
      <c r="J29" s="310"/>
      <c r="K29" s="310"/>
      <c r="L29" s="310"/>
      <c r="M29" s="310"/>
      <c r="N29" s="310"/>
      <c r="O29" s="310"/>
      <c r="P29" s="310"/>
    </row>
    <row r="30" spans="1:16" ht="15" customHeight="1" x14ac:dyDescent="0.55000000000000004">
      <c r="B30" s="49" t="s">
        <v>516</v>
      </c>
      <c r="C30" s="104">
        <f>IFERROR((INDEX('3_Balance_Sheet'!C84:N84,1,LatestAudCol)-INDEX('3_Balance_Sheet'!C84:N84,1,PriorAudCol))/IF(((INDEX('3_Balance_Sheet'!C52:N52,1,LatestAudCol)-INDEX('3_Balance_Sheet'!C52:N52,1,PriorAudCol))+(INDEX('3_Balance_Sheet'!C39:N39,1,LatestAudCol)-INDEX('3_Balance_Sheet'!C39:N39,1,PriorAudCol)))=0,1,((INDEX('3_Balance_Sheet'!C52:N52,1,LatestAudCol)-INDEX('3_Balance_Sheet'!C52:N52,1,PriorAudCol))+(INDEX('3_Balance_Sheet'!C39:N39,1,LatestAudCol)-INDEX('3_Balance_Sheet'!C39:N39,1,PriorAudCol)))),0)</f>
        <v>0</v>
      </c>
      <c r="P30" s="103" t="str">
        <f>IF((INDEX('3_Balance_Sheet'!C84:N84,1,LatestAudCol)-INDEX('3_Balance_Sheet'!C84:N84,1,PriorAudCol))&lt;0.05,"✓ No material capex in latest year",IF(C30&gt;1.5,"⚠ DIVERSION RISK — capex exceeds long-term funds. Quantify gap, ensure no cross-subsidy from WC.",IF(C30&gt;1,"⚠ Capex partly funded from working capital — review LTF source documentation.","✓ Capex matched with long-term sources")))</f>
        <v>✓ No material capex in latest year</v>
      </c>
    </row>
  </sheetData>
  <mergeCells count="6">
    <mergeCell ref="A29:P29"/>
    <mergeCell ref="A1:P1"/>
    <mergeCell ref="A2:P2"/>
    <mergeCell ref="A6:P6"/>
    <mergeCell ref="A14:P14"/>
    <mergeCell ref="A23:P23"/>
  </mergeCells>
  <conditionalFormatting sqref="C4:C30">
    <cfRule type="expression" dxfId="52" priority="2">
      <formula>1&gt;TotalCols</formula>
    </cfRule>
  </conditionalFormatting>
  <conditionalFormatting sqref="D4:D30">
    <cfRule type="expression" dxfId="51" priority="3">
      <formula>2&gt;TotalCols</formula>
    </cfRule>
  </conditionalFormatting>
  <conditionalFormatting sqref="E4:E30">
    <cfRule type="expression" dxfId="50" priority="4">
      <formula>3&gt;TotalCols</formula>
    </cfRule>
  </conditionalFormatting>
  <conditionalFormatting sqref="F4:F30">
    <cfRule type="expression" dxfId="49" priority="5">
      <formula>4&gt;TotalCols</formula>
    </cfRule>
  </conditionalFormatting>
  <conditionalFormatting sqref="G4:G30">
    <cfRule type="expression" dxfId="48" priority="6">
      <formula>5&gt;TotalCols</formula>
    </cfRule>
  </conditionalFormatting>
  <conditionalFormatting sqref="H4:H30">
    <cfRule type="expression" dxfId="47" priority="7">
      <formula>6&gt;TotalCols</formula>
    </cfRule>
  </conditionalFormatting>
  <conditionalFormatting sqref="I4:I30">
    <cfRule type="expression" dxfId="46" priority="8">
      <formula>7&gt;TotalCols</formula>
    </cfRule>
  </conditionalFormatting>
  <conditionalFormatting sqref="J4:J30">
    <cfRule type="expression" dxfId="45" priority="9">
      <formula>8&gt;TotalCols</formula>
    </cfRule>
  </conditionalFormatting>
  <conditionalFormatting sqref="K4:K30">
    <cfRule type="expression" dxfId="44" priority="10">
      <formula>9&gt;TotalCols</formula>
    </cfRule>
  </conditionalFormatting>
  <conditionalFormatting sqref="L4:L30">
    <cfRule type="expression" dxfId="43" priority="11">
      <formula>10&gt;TotalCols</formula>
    </cfRule>
  </conditionalFormatting>
  <conditionalFormatting sqref="M4:M30">
    <cfRule type="expression" dxfId="42" priority="12">
      <formula>11&gt;TotalCols</formula>
    </cfRule>
  </conditionalFormatting>
  <conditionalFormatting sqref="N4:N30">
    <cfRule type="expression" dxfId="41" priority="13">
      <formula>12&gt;TotalCols</formula>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AD47"/>
  </sheetPr>
  <dimension ref="A1:P33"/>
  <sheetViews>
    <sheetView zoomScaleNormal="100" workbookViewId="0"/>
  </sheetViews>
  <sheetFormatPr defaultColWidth="8.68359375" defaultRowHeight="14.4" x14ac:dyDescent="0.55000000000000004"/>
  <cols>
    <col min="1" max="1" width="6" customWidth="1"/>
    <col min="2" max="2" width="50" customWidth="1"/>
    <col min="3" max="14" width="12" customWidth="1"/>
    <col min="15" max="15" width="14" customWidth="1"/>
    <col min="16" max="16" width="50" customWidth="1"/>
  </cols>
  <sheetData>
    <row r="1" spans="1:16" ht="24" customHeight="1" x14ac:dyDescent="0.55000000000000004">
      <c r="A1" s="294" t="str">
        <f>CONCATENATE("PERFORMANCE INDICATORS  |  ", BorrowerName)</f>
        <v xml:space="preserve">PERFORMANCE INDICATORS  |  </v>
      </c>
      <c r="B1" s="294"/>
      <c r="C1" s="294"/>
      <c r="D1" s="294"/>
      <c r="E1" s="294"/>
      <c r="F1" s="294"/>
      <c r="G1" s="294"/>
      <c r="H1" s="294"/>
      <c r="I1" s="294"/>
      <c r="J1" s="294"/>
      <c r="K1" s="294"/>
      <c r="L1" s="294"/>
      <c r="M1" s="294"/>
      <c r="N1" s="294"/>
      <c r="O1" s="294"/>
      <c r="P1" s="294"/>
    </row>
    <row r="2" spans="1:16" ht="15" customHeight="1" x14ac:dyDescent="0.55000000000000004">
      <c r="A2" s="295" t="s">
        <v>517</v>
      </c>
      <c r="B2" s="295"/>
      <c r="C2" s="295"/>
      <c r="D2" s="295"/>
      <c r="E2" s="295"/>
      <c r="F2" s="295"/>
      <c r="G2" s="295"/>
      <c r="H2" s="295"/>
      <c r="I2" s="295"/>
      <c r="J2" s="295"/>
      <c r="K2" s="295"/>
      <c r="L2" s="295"/>
      <c r="M2" s="295"/>
      <c r="N2" s="295"/>
      <c r="O2" s="295"/>
      <c r="P2" s="295"/>
    </row>
    <row r="3" spans="1:16" ht="30" customHeight="1" x14ac:dyDescent="0.55000000000000004">
      <c r="A3" s="79" t="s">
        <v>251</v>
      </c>
      <c r="B3" s="79" t="s">
        <v>252</v>
      </c>
      <c r="C3" s="80" t="s">
        <v>253</v>
      </c>
      <c r="D3" s="80" t="s">
        <v>254</v>
      </c>
      <c r="E3" s="80" t="s">
        <v>255</v>
      </c>
      <c r="F3" s="80" t="s">
        <v>256</v>
      </c>
      <c r="G3" s="80" t="s">
        <v>257</v>
      </c>
      <c r="H3" s="80" t="s">
        <v>258</v>
      </c>
      <c r="I3" s="80" t="s">
        <v>259</v>
      </c>
      <c r="J3" s="80" t="s">
        <v>260</v>
      </c>
      <c r="K3" s="80" t="s">
        <v>261</v>
      </c>
      <c r="L3" s="80" t="s">
        <v>262</v>
      </c>
      <c r="M3" s="80" t="s">
        <v>263</v>
      </c>
      <c r="N3" s="80" t="s">
        <v>264</v>
      </c>
      <c r="O3" s="81" t="s">
        <v>5</v>
      </c>
      <c r="P3" s="81" t="s">
        <v>266</v>
      </c>
    </row>
    <row r="4" spans="1:16" ht="15"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5" spans="1:16" ht="15" customHeight="1" x14ac:dyDescent="0.55000000000000004">
      <c r="B5" s="84" t="s">
        <v>268</v>
      </c>
      <c r="C5" s="85" t="str">
        <f>INDEX('0_Setup'!$C$48:$C$59,1)</f>
        <v>Audited</v>
      </c>
      <c r="D5" s="85" t="str">
        <f>INDEX('0_Setup'!$C$48:$C$59,2)</f>
        <v>Audited</v>
      </c>
      <c r="E5" s="85" t="str">
        <f>INDEX('0_Setup'!$C$48:$C$59,3)</f>
        <v>Estimated</v>
      </c>
      <c r="F5" s="85" t="str">
        <f>INDEX('0_Setup'!$C$48:$C$59,4)</f>
        <v>Audited/Provisional</v>
      </c>
      <c r="G5" s="85" t="str">
        <f>INDEX('0_Setup'!$C$48:$C$59,5)</f>
        <v>Estimated</v>
      </c>
      <c r="H5" s="85" t="str">
        <f>INDEX('0_Setup'!$C$48:$C$59,6)</f>
        <v>Projected</v>
      </c>
      <c r="I5" s="85" t="str">
        <f>INDEX('0_Setup'!$C$48:$C$59,7)</f>
        <v>Projected</v>
      </c>
      <c r="J5" s="85" t="str">
        <f>INDEX('0_Setup'!$C$48:$C$59,8)</f>
        <v>Projected</v>
      </c>
      <c r="K5" s="85" t="str">
        <f>INDEX('0_Setup'!$C$48:$C$59,9)</f>
        <v>Projected</v>
      </c>
      <c r="L5" s="85" t="str">
        <f>INDEX('0_Setup'!$C$48:$C$59,10)</f>
        <v/>
      </c>
      <c r="M5" s="85" t="str">
        <f>INDEX('0_Setup'!$C$48:$C$59,11)</f>
        <v/>
      </c>
      <c r="N5" s="85" t="str">
        <f>INDEX('0_Setup'!$C$48:$C$59,12)</f>
        <v/>
      </c>
    </row>
    <row r="6" spans="1:16" ht="19.5" customHeight="1" x14ac:dyDescent="0.55000000000000004">
      <c r="A6" s="310" t="s">
        <v>518</v>
      </c>
      <c r="B6" s="310"/>
      <c r="C6" s="310"/>
      <c r="D6" s="310"/>
      <c r="E6" s="310"/>
      <c r="F6" s="310"/>
      <c r="G6" s="310"/>
      <c r="H6" s="310"/>
      <c r="I6" s="310"/>
      <c r="J6" s="310"/>
      <c r="K6" s="310"/>
      <c r="L6" s="310"/>
      <c r="M6" s="310"/>
      <c r="N6" s="310"/>
      <c r="O6" s="310"/>
      <c r="P6" s="310"/>
    </row>
    <row r="7" spans="1:16" ht="15" customHeight="1" x14ac:dyDescent="0.55000000000000004">
      <c r="A7" s="86">
        <v>1</v>
      </c>
      <c r="B7" s="87" t="s">
        <v>8</v>
      </c>
      <c r="C7" s="97">
        <f>'2_Operating_Statement'!C13</f>
        <v>0</v>
      </c>
      <c r="D7" s="97">
        <f>'2_Operating_Statement'!D13</f>
        <v>0</v>
      </c>
      <c r="E7" s="97">
        <f>'2_Operating_Statement'!E13</f>
        <v>0</v>
      </c>
      <c r="F7" s="97">
        <f>'2_Operating_Statement'!F13</f>
        <v>0</v>
      </c>
      <c r="G7" s="97">
        <f>'2_Operating_Statement'!G13</f>
        <v>0</v>
      </c>
      <c r="H7" s="97">
        <f>'2_Operating_Statement'!H13</f>
        <v>0</v>
      </c>
      <c r="I7" s="97">
        <f>'2_Operating_Statement'!I13</f>
        <v>0</v>
      </c>
      <c r="J7" s="97">
        <f>'2_Operating_Statement'!J13</f>
        <v>0</v>
      </c>
      <c r="K7" s="97">
        <f>'2_Operating_Statement'!K13</f>
        <v>0</v>
      </c>
      <c r="L7" s="97">
        <f>'2_Operating_Statement'!L13</f>
        <v>0</v>
      </c>
      <c r="M7" s="97">
        <f>'2_Operating_Statement'!M13</f>
        <v>0</v>
      </c>
      <c r="N7" s="97">
        <f>'2_Operating_Statement'!N13</f>
        <v>0</v>
      </c>
      <c r="O7" s="105"/>
      <c r="P7" s="106" t="str">
        <f>IF(AND(INDEX('2_Operating_Statement'!C13:N13,1,PriorAudCol)&gt;0,INDEX('2_Operating_Statement'!C13:N13,1,LatestAudCol)&gt;0),"YoY: "&amp;TEXT((INDEX('2_Operating_Statement'!C13:N13,1,LatestAudCol)-INDEX('2_Operating_Statement'!C13:N13,1,PriorAudCol))/INDEX('2_Operating_Statement'!C13:N13,1,PriorAudCol),"0.0%"),"")</f>
        <v/>
      </c>
    </row>
    <row r="8" spans="1:16" ht="15" customHeight="1" x14ac:dyDescent="0.55000000000000004">
      <c r="A8" s="86">
        <v>2</v>
      </c>
      <c r="B8" s="87" t="s">
        <v>519</v>
      </c>
      <c r="C8" s="99" t="str">
        <f>IF(OR(1&lt;&gt;LatestAudCol,INDEX('2_Operating_Statement'!C13:N13,1,PriorAudCol)=0),"",IFERROR((INDEX('2_Operating_Statement'!C13:N13,1,LatestAudCol)-INDEX('2_Operating_Statement'!C13:N13,1,PriorAudCol))/INDEX('2_Operating_Statement'!C13:N13,1,PriorAudCol),""))</f>
        <v/>
      </c>
      <c r="D8" s="99" t="str">
        <f>IF(OR(2&lt;&gt;LatestAudCol,INDEX('2_Operating_Statement'!C13:N13,1,PriorAudCol)=0),"",IFERROR((INDEX('2_Operating_Statement'!C13:N13,1,LatestAudCol)-INDEX('2_Operating_Statement'!C13:N13,1,PriorAudCol))/INDEX('2_Operating_Statement'!C13:N13,1,PriorAudCol),""))</f>
        <v/>
      </c>
      <c r="E8" s="99" t="str">
        <f>IF(OR(3&lt;&gt;LatestAudCol,INDEX('2_Operating_Statement'!C13:N13,1,PriorAudCol)=0),"",IFERROR((INDEX('2_Operating_Statement'!C13:N13,1,LatestAudCol)-INDEX('2_Operating_Statement'!C13:N13,1,PriorAudCol))/INDEX('2_Operating_Statement'!C13:N13,1,PriorAudCol),""))</f>
        <v/>
      </c>
      <c r="F8" s="99" t="str">
        <f>IF(OR(4&lt;&gt;LatestAudCol,INDEX('2_Operating_Statement'!C13:N13,1,PriorAudCol)=0),"",IFERROR((INDEX('2_Operating_Statement'!C13:N13,1,LatestAudCol)-INDEX('2_Operating_Statement'!C13:N13,1,PriorAudCol))/INDEX('2_Operating_Statement'!C13:N13,1,PriorAudCol),""))</f>
        <v/>
      </c>
      <c r="G8" s="99" t="str">
        <f>IF(OR(5&lt;&gt;LatestAudCol,INDEX('2_Operating_Statement'!C13:N13,1,PriorAudCol)=0),"",IFERROR((INDEX('2_Operating_Statement'!C13:N13,1,LatestAudCol)-INDEX('2_Operating_Statement'!C13:N13,1,PriorAudCol))/INDEX('2_Operating_Statement'!C13:N13,1,PriorAudCol),""))</f>
        <v/>
      </c>
      <c r="H8" s="99" t="str">
        <f>IF(OR(6&lt;&gt;LatestAudCol,INDEX('2_Operating_Statement'!C13:N13,1,PriorAudCol)=0),"",IFERROR((INDEX('2_Operating_Statement'!C13:N13,1,LatestAudCol)-INDEX('2_Operating_Statement'!C13:N13,1,PriorAudCol))/INDEX('2_Operating_Statement'!C13:N13,1,PriorAudCol),""))</f>
        <v/>
      </c>
      <c r="I8" s="99" t="str">
        <f>IF(OR(7&lt;&gt;LatestAudCol,INDEX('2_Operating_Statement'!C13:N13,1,PriorAudCol)=0),"",IFERROR((INDEX('2_Operating_Statement'!C13:N13,1,LatestAudCol)-INDEX('2_Operating_Statement'!C13:N13,1,PriorAudCol))/INDEX('2_Operating_Statement'!C13:N13,1,PriorAudCol),""))</f>
        <v/>
      </c>
      <c r="J8" s="99" t="str">
        <f>IF(OR(8&lt;&gt;LatestAudCol,INDEX('2_Operating_Statement'!C13:N13,1,PriorAudCol)=0),"",IFERROR((INDEX('2_Operating_Statement'!C13:N13,1,LatestAudCol)-INDEX('2_Operating_Statement'!C13:N13,1,PriorAudCol))/INDEX('2_Operating_Statement'!C13:N13,1,PriorAudCol),""))</f>
        <v/>
      </c>
      <c r="K8" s="99" t="str">
        <f>IF(OR(9&lt;&gt;LatestAudCol,INDEX('2_Operating_Statement'!C13:N13,1,PriorAudCol)=0),"",IFERROR((INDEX('2_Operating_Statement'!C13:N13,1,LatestAudCol)-INDEX('2_Operating_Statement'!C13:N13,1,PriorAudCol))/INDEX('2_Operating_Statement'!C13:N13,1,PriorAudCol),""))</f>
        <v/>
      </c>
      <c r="L8" s="99" t="str">
        <f>IF(OR(10&lt;&gt;LatestAudCol,INDEX('2_Operating_Statement'!C13:N13,1,PriorAudCol)=0),"",IFERROR((INDEX('2_Operating_Statement'!C13:N13,1,LatestAudCol)-INDEX('2_Operating_Statement'!C13:N13,1,PriorAudCol))/INDEX('2_Operating_Statement'!C13:N13,1,PriorAudCol),""))</f>
        <v/>
      </c>
      <c r="M8" s="99" t="str">
        <f>IF(OR(11&lt;&gt;LatestAudCol,INDEX('2_Operating_Statement'!C13:N13,1,PriorAudCol)=0),"",IFERROR((INDEX('2_Operating_Statement'!C13:N13,1,LatestAudCol)-INDEX('2_Operating_Statement'!C13:N13,1,PriorAudCol))/INDEX('2_Operating_Statement'!C13:N13,1,PriorAudCol),""))</f>
        <v/>
      </c>
      <c r="N8" s="99" t="str">
        <f>IF(OR(12&lt;&gt;LatestAudCol,INDEX('2_Operating_Statement'!C13:N13,1,PriorAudCol)=0),"",IFERROR((INDEX('2_Operating_Statement'!C13:N13,1,LatestAudCol)-INDEX('2_Operating_Statement'!C13:N13,1,PriorAudCol))/INDEX('2_Operating_Statement'!C13:N13,1,PriorAudCol),""))</f>
        <v/>
      </c>
      <c r="O8" s="105" t="s">
        <v>520</v>
      </c>
      <c r="P8" s="106" t="str">
        <f>IF(INDEX('2_Operating_Statement'!C13:N13,1,LatestAudCol)=0,"",IF((INDEX('2_Operating_Statement'!C13:N13,1,LatestAudCol)-INDEX('2_Operating_Statement'!C13:N13,1,PriorAudCol))/INDEX('2_Operating_Statement'!C13:N13,1,PriorAudCol)&lt;MinSalesGrowth,"⚠ Sales declined materially; investigate volume/realisation breakup",IF((INDEX('2_Operating_Statement'!C13:N13,1,LatestAudCol)-INDEX('2_Operating_Statement'!C13:N13,1,PriorAudCol))/INDEX('2_Operating_Statement'!C13:N13,1,PriorAudCol)&gt;0.5,"⚠ Sales growth &gt;50% — verify with sales register, GST returns, customer concentration","✓ Sales trajectory within reasonable range")))</f>
        <v/>
      </c>
    </row>
    <row r="9" spans="1:16" ht="15" customHeight="1" x14ac:dyDescent="0.55000000000000004">
      <c r="A9" s="86">
        <v>3</v>
      </c>
      <c r="B9" s="87" t="s">
        <v>521</v>
      </c>
      <c r="C9" s="99">
        <f>IFERROR('2_Operating_Statement'!C33/'2_Operating_Statement'!C13,0)</f>
        <v>0</v>
      </c>
      <c r="D9" s="99">
        <f>IFERROR('2_Operating_Statement'!D33/'2_Operating_Statement'!D13,0)</f>
        <v>0</v>
      </c>
      <c r="E9" s="99">
        <f>IFERROR('2_Operating_Statement'!E33/'2_Operating_Statement'!E13,0)</f>
        <v>0</v>
      </c>
      <c r="F9" s="99">
        <f>IFERROR('2_Operating_Statement'!F33/'2_Operating_Statement'!F13,0)</f>
        <v>0</v>
      </c>
      <c r="G9" s="99">
        <f>IFERROR('2_Operating_Statement'!G33/'2_Operating_Statement'!G13,0)</f>
        <v>0</v>
      </c>
      <c r="H9" s="99">
        <f>IFERROR('2_Operating_Statement'!H33/'2_Operating_Statement'!H13,0)</f>
        <v>0</v>
      </c>
      <c r="I9" s="99">
        <f>IFERROR('2_Operating_Statement'!I33/'2_Operating_Statement'!I13,0)</f>
        <v>0</v>
      </c>
      <c r="J9" s="99">
        <f>IFERROR('2_Operating_Statement'!J33/'2_Operating_Statement'!J13,0)</f>
        <v>0</v>
      </c>
      <c r="K9" s="99">
        <f>IFERROR('2_Operating_Statement'!K33/'2_Operating_Statement'!K13,0)</f>
        <v>0</v>
      </c>
      <c r="L9" s="99">
        <f>IFERROR('2_Operating_Statement'!L33/'2_Operating_Statement'!L13,0)</f>
        <v>0</v>
      </c>
      <c r="M9" s="99">
        <f>IFERROR('2_Operating_Statement'!M33/'2_Operating_Statement'!M13,0)</f>
        <v>0</v>
      </c>
      <c r="N9" s="99">
        <f>IFERROR('2_Operating_Statement'!N33/'2_Operating_Statement'!N13,0)</f>
        <v>0</v>
      </c>
      <c r="O9" s="105" t="s">
        <v>522</v>
      </c>
    </row>
    <row r="10" spans="1:16" ht="15" customHeight="1" x14ac:dyDescent="0.55000000000000004">
      <c r="A10" s="86">
        <v>4</v>
      </c>
      <c r="B10" s="87" t="s">
        <v>523</v>
      </c>
      <c r="C10" s="99">
        <f>IFERROR('2_Operating_Statement'!C58/'2_Operating_Statement'!C13,0)</f>
        <v>0</v>
      </c>
      <c r="D10" s="99">
        <f>IFERROR('2_Operating_Statement'!D58/'2_Operating_Statement'!D13,0)</f>
        <v>0</v>
      </c>
      <c r="E10" s="99">
        <f>IFERROR('2_Operating_Statement'!E58/'2_Operating_Statement'!E13,0)</f>
        <v>0</v>
      </c>
      <c r="F10" s="99">
        <f>IFERROR('2_Operating_Statement'!F58/'2_Operating_Statement'!F13,0)</f>
        <v>0</v>
      </c>
      <c r="G10" s="99">
        <f>IFERROR('2_Operating_Statement'!G58/'2_Operating_Statement'!G13,0)</f>
        <v>0</v>
      </c>
      <c r="H10" s="99">
        <f>IFERROR('2_Operating_Statement'!H58/'2_Operating_Statement'!H13,0)</f>
        <v>0</v>
      </c>
      <c r="I10" s="99">
        <f>IFERROR('2_Operating_Statement'!I58/'2_Operating_Statement'!I13,0)</f>
        <v>0</v>
      </c>
      <c r="J10" s="99">
        <f>IFERROR('2_Operating_Statement'!J58/'2_Operating_Statement'!J13,0)</f>
        <v>0</v>
      </c>
      <c r="K10" s="99">
        <f>IFERROR('2_Operating_Statement'!K58/'2_Operating_Statement'!K13,0)</f>
        <v>0</v>
      </c>
      <c r="L10" s="99">
        <f>IFERROR('2_Operating_Statement'!L58/'2_Operating_Statement'!L13,0)</f>
        <v>0</v>
      </c>
      <c r="M10" s="99">
        <f>IFERROR('2_Operating_Statement'!M58/'2_Operating_Statement'!M13,0)</f>
        <v>0</v>
      </c>
      <c r="N10" s="99">
        <f>IFERROR('2_Operating_Statement'!N58/'2_Operating_Statement'!N13,0)</f>
        <v>0</v>
      </c>
      <c r="O10" s="105" t="s">
        <v>524</v>
      </c>
    </row>
    <row r="11" spans="1:16" ht="15" customHeight="1" x14ac:dyDescent="0.55000000000000004">
      <c r="A11" s="86">
        <v>5</v>
      </c>
      <c r="B11" s="87" t="s">
        <v>525</v>
      </c>
      <c r="C11" s="97">
        <f>'2_Operating_Statement'!C58+'2_Operating_Statement'!C24</f>
        <v>0</v>
      </c>
      <c r="D11" s="97">
        <f>'2_Operating_Statement'!D58+'2_Operating_Statement'!D24</f>
        <v>0</v>
      </c>
      <c r="E11" s="97">
        <f>'2_Operating_Statement'!E58+'2_Operating_Statement'!E24</f>
        <v>0</v>
      </c>
      <c r="F11" s="97">
        <f>'2_Operating_Statement'!F58+'2_Operating_Statement'!F24</f>
        <v>0</v>
      </c>
      <c r="G11" s="97">
        <f>'2_Operating_Statement'!G58+'2_Operating_Statement'!G24</f>
        <v>0</v>
      </c>
      <c r="H11" s="97">
        <f>'2_Operating_Statement'!H58+'2_Operating_Statement'!H24</f>
        <v>0</v>
      </c>
      <c r="I11" s="97">
        <f>'2_Operating_Statement'!I58+'2_Operating_Statement'!I24</f>
        <v>0</v>
      </c>
      <c r="J11" s="97">
        <f>'2_Operating_Statement'!J58+'2_Operating_Statement'!J24</f>
        <v>0</v>
      </c>
      <c r="K11" s="97">
        <f>'2_Operating_Statement'!K58+'2_Operating_Statement'!K24</f>
        <v>0</v>
      </c>
      <c r="L11" s="97">
        <f>'2_Operating_Statement'!L58+'2_Operating_Statement'!L24</f>
        <v>0</v>
      </c>
      <c r="M11" s="97">
        <f>'2_Operating_Statement'!M58+'2_Operating_Statement'!M24</f>
        <v>0</v>
      </c>
      <c r="N11" s="97">
        <f>'2_Operating_Statement'!N58+'2_Operating_Statement'!N24</f>
        <v>0</v>
      </c>
      <c r="O11" s="105"/>
    </row>
    <row r="12" spans="1:16" ht="15" customHeight="1" x14ac:dyDescent="0.55000000000000004">
      <c r="A12" s="86">
        <v>6</v>
      </c>
      <c r="B12" s="87" t="s">
        <v>526</v>
      </c>
      <c r="C12" s="99">
        <f>IFERROR(('2_Operating_Statement'!C58+'2_Operating_Statement'!C24)/'2_Operating_Statement'!C13,0)</f>
        <v>0</v>
      </c>
      <c r="D12" s="99">
        <f>IFERROR(('2_Operating_Statement'!D58+'2_Operating_Statement'!D24)/'2_Operating_Statement'!D13,0)</f>
        <v>0</v>
      </c>
      <c r="E12" s="99">
        <f>IFERROR(('2_Operating_Statement'!E58+'2_Operating_Statement'!E24)/'2_Operating_Statement'!E13,0)</f>
        <v>0</v>
      </c>
      <c r="F12" s="99">
        <f>IFERROR(('2_Operating_Statement'!F58+'2_Operating_Statement'!F24)/'2_Operating_Statement'!F13,0)</f>
        <v>0</v>
      </c>
      <c r="G12" s="99">
        <f>IFERROR(('2_Operating_Statement'!G58+'2_Operating_Statement'!G24)/'2_Operating_Statement'!G13,0)</f>
        <v>0</v>
      </c>
      <c r="H12" s="99">
        <f>IFERROR(('2_Operating_Statement'!H58+'2_Operating_Statement'!H24)/'2_Operating_Statement'!H13,0)</f>
        <v>0</v>
      </c>
      <c r="I12" s="99">
        <f>IFERROR(('2_Operating_Statement'!I58+'2_Operating_Statement'!I24)/'2_Operating_Statement'!I13,0)</f>
        <v>0</v>
      </c>
      <c r="J12" s="99">
        <f>IFERROR(('2_Operating_Statement'!J58+'2_Operating_Statement'!J24)/'2_Operating_Statement'!J13,0)</f>
        <v>0</v>
      </c>
      <c r="K12" s="99">
        <f>IFERROR(('2_Operating_Statement'!K58+'2_Operating_Statement'!K24)/'2_Operating_Statement'!K13,0)</f>
        <v>0</v>
      </c>
      <c r="L12" s="99">
        <f>IFERROR(('2_Operating_Statement'!L58+'2_Operating_Statement'!L24)/'2_Operating_Statement'!L13,0)</f>
        <v>0</v>
      </c>
      <c r="M12" s="99">
        <f>IFERROR(('2_Operating_Statement'!M58+'2_Operating_Statement'!M24)/'2_Operating_Statement'!M13,0)</f>
        <v>0</v>
      </c>
      <c r="N12" s="99">
        <f>IFERROR(('2_Operating_Statement'!N58+'2_Operating_Statement'!N24)/'2_Operating_Statement'!N13,0)</f>
        <v>0</v>
      </c>
      <c r="O12" s="105" t="s">
        <v>522</v>
      </c>
    </row>
    <row r="13" spans="1:16" ht="19.5" customHeight="1" x14ac:dyDescent="0.55000000000000004">
      <c r="A13" s="310" t="s">
        <v>527</v>
      </c>
      <c r="B13" s="310"/>
      <c r="C13" s="310"/>
      <c r="D13" s="310"/>
      <c r="E13" s="310"/>
      <c r="F13" s="310"/>
      <c r="G13" s="310"/>
      <c r="H13" s="310"/>
      <c r="I13" s="310"/>
      <c r="J13" s="310"/>
      <c r="K13" s="310"/>
      <c r="L13" s="310"/>
      <c r="M13" s="310"/>
      <c r="N13" s="310"/>
      <c r="O13" s="310"/>
      <c r="P13" s="310"/>
    </row>
    <row r="14" spans="1:16" ht="15" customHeight="1" x14ac:dyDescent="0.55000000000000004">
      <c r="A14" s="86">
        <v>7</v>
      </c>
      <c r="B14" s="87" t="s">
        <v>528</v>
      </c>
      <c r="C14" s="107">
        <f>IFERROR('3_Balance_Sheet'!C82/'3_Balance_Sheet'!C27,0)</f>
        <v>0</v>
      </c>
      <c r="D14" s="107">
        <f>IFERROR('3_Balance_Sheet'!D82/'3_Balance_Sheet'!D27,0)</f>
        <v>0</v>
      </c>
      <c r="E14" s="107">
        <f>IFERROR('3_Balance_Sheet'!E82/'3_Balance_Sheet'!E27,0)</f>
        <v>0</v>
      </c>
      <c r="F14" s="107">
        <f>IFERROR('3_Balance_Sheet'!F82/'3_Balance_Sheet'!F27,0)</f>
        <v>0</v>
      </c>
      <c r="G14" s="107">
        <f>IFERROR('3_Balance_Sheet'!G82/'3_Balance_Sheet'!G27,0)</f>
        <v>0</v>
      </c>
      <c r="H14" s="107">
        <f>IFERROR('3_Balance_Sheet'!H82/'3_Balance_Sheet'!H27,0)</f>
        <v>0</v>
      </c>
      <c r="I14" s="107">
        <f>IFERROR('3_Balance_Sheet'!I82/'3_Balance_Sheet'!I27,0)</f>
        <v>0</v>
      </c>
      <c r="J14" s="107">
        <f>IFERROR('3_Balance_Sheet'!J82/'3_Balance_Sheet'!J27,0)</f>
        <v>0</v>
      </c>
      <c r="K14" s="107">
        <f>IFERROR('3_Balance_Sheet'!K82/'3_Balance_Sheet'!K27,0)</f>
        <v>0</v>
      </c>
      <c r="L14" s="107">
        <f>IFERROR('3_Balance_Sheet'!L82/'3_Balance_Sheet'!L27,0)</f>
        <v>0</v>
      </c>
      <c r="M14" s="107">
        <f>IFERROR('3_Balance_Sheet'!M82/'3_Balance_Sheet'!M27,0)</f>
        <v>0</v>
      </c>
      <c r="N14" s="107">
        <f>IFERROR('3_Balance_Sheet'!N82/'3_Balance_Sheet'!N27,0)</f>
        <v>0</v>
      </c>
      <c r="O14" s="105" t="s">
        <v>529</v>
      </c>
      <c r="P14" s="106" t="str">
        <f>IF(INDEX('3_Balance_Sheet'!C82:N82,1,LatestAudCol)=0,"",IF(IFERROR(INDEX('3_Balance_Sheet'!C82:N82,1,LatestAudCol)/INDEX('3_Balance_Sheet'!C27:N27,1,LatestAudCol),0)&lt;MinCR,"⚠ Current Ratio below "&amp;TEXT(MinCR,"0.00")&amp;" — liquidity stress","✓ Current Ratio acceptable"))</f>
        <v/>
      </c>
    </row>
    <row r="15" spans="1:16" ht="15" customHeight="1" x14ac:dyDescent="0.55000000000000004">
      <c r="A15" s="86">
        <v>8</v>
      </c>
      <c r="B15" s="87" t="s">
        <v>530</v>
      </c>
      <c r="C15" s="107">
        <f>IFERROR(('3_Balance_Sheet'!C82-'3_Balance_Sheet'!C73)/'3_Balance_Sheet'!C27,0)</f>
        <v>0</v>
      </c>
      <c r="D15" s="107">
        <f>IFERROR(('3_Balance_Sheet'!D82-'3_Balance_Sheet'!D73)/'3_Balance_Sheet'!D27,0)</f>
        <v>0</v>
      </c>
      <c r="E15" s="107">
        <f>IFERROR(('3_Balance_Sheet'!E82-'3_Balance_Sheet'!E73)/'3_Balance_Sheet'!E27,0)</f>
        <v>0</v>
      </c>
      <c r="F15" s="107">
        <f>IFERROR(('3_Balance_Sheet'!F82-'3_Balance_Sheet'!F73)/'3_Balance_Sheet'!F27,0)</f>
        <v>0</v>
      </c>
      <c r="G15" s="107">
        <f>IFERROR(('3_Balance_Sheet'!G82-'3_Balance_Sheet'!G73)/'3_Balance_Sheet'!G27,0)</f>
        <v>0</v>
      </c>
      <c r="H15" s="107">
        <f>IFERROR(('3_Balance_Sheet'!H82-'3_Balance_Sheet'!H73)/'3_Balance_Sheet'!H27,0)</f>
        <v>0</v>
      </c>
      <c r="I15" s="107">
        <f>IFERROR(('3_Balance_Sheet'!I82-'3_Balance_Sheet'!I73)/'3_Balance_Sheet'!I27,0)</f>
        <v>0</v>
      </c>
      <c r="J15" s="107">
        <f>IFERROR(('3_Balance_Sheet'!J82-'3_Balance_Sheet'!J73)/'3_Balance_Sheet'!J27,0)</f>
        <v>0</v>
      </c>
      <c r="K15" s="107">
        <f>IFERROR(('3_Balance_Sheet'!K82-'3_Balance_Sheet'!K73)/'3_Balance_Sheet'!K27,0)</f>
        <v>0</v>
      </c>
      <c r="L15" s="107">
        <f>IFERROR(('3_Balance_Sheet'!L82-'3_Balance_Sheet'!L73)/'3_Balance_Sheet'!L27,0)</f>
        <v>0</v>
      </c>
      <c r="M15" s="107">
        <f>IFERROR(('3_Balance_Sheet'!M82-'3_Balance_Sheet'!M73)/'3_Balance_Sheet'!M27,0)</f>
        <v>0</v>
      </c>
      <c r="N15" s="107">
        <f>IFERROR(('3_Balance_Sheet'!N82-'3_Balance_Sheet'!N73)/'3_Balance_Sheet'!N27,0)</f>
        <v>0</v>
      </c>
      <c r="O15" s="105" t="s">
        <v>531</v>
      </c>
    </row>
    <row r="16" spans="1:16" ht="15" customHeight="1" x14ac:dyDescent="0.55000000000000004">
      <c r="A16" s="86">
        <v>9</v>
      </c>
      <c r="B16" s="87" t="s">
        <v>532</v>
      </c>
      <c r="C16" s="97">
        <f>'3_Balance_Sheet'!C82-'3_Balance_Sheet'!C27</f>
        <v>0</v>
      </c>
      <c r="D16" s="97">
        <f>'3_Balance_Sheet'!D82-'3_Balance_Sheet'!D27</f>
        <v>0</v>
      </c>
      <c r="E16" s="97">
        <f>'3_Balance_Sheet'!E82-'3_Balance_Sheet'!E27</f>
        <v>0</v>
      </c>
      <c r="F16" s="97">
        <f>'3_Balance_Sheet'!F82-'3_Balance_Sheet'!F27</f>
        <v>0</v>
      </c>
      <c r="G16" s="97">
        <f>'3_Balance_Sheet'!G82-'3_Balance_Sheet'!G27</f>
        <v>0</v>
      </c>
      <c r="H16" s="97">
        <f>'3_Balance_Sheet'!H82-'3_Balance_Sheet'!H27</f>
        <v>0</v>
      </c>
      <c r="I16" s="97">
        <f>'3_Balance_Sheet'!I82-'3_Balance_Sheet'!I27</f>
        <v>0</v>
      </c>
      <c r="J16" s="97">
        <f>'3_Balance_Sheet'!J82-'3_Balance_Sheet'!J27</f>
        <v>0</v>
      </c>
      <c r="K16" s="97">
        <f>'3_Balance_Sheet'!K82-'3_Balance_Sheet'!K27</f>
        <v>0</v>
      </c>
      <c r="L16" s="97">
        <f>'3_Balance_Sheet'!L82-'3_Balance_Sheet'!L27</f>
        <v>0</v>
      </c>
      <c r="M16" s="97">
        <f>'3_Balance_Sheet'!M82-'3_Balance_Sheet'!M27</f>
        <v>0</v>
      </c>
      <c r="N16" s="97">
        <f>'3_Balance_Sheet'!N82-'3_Balance_Sheet'!N27</f>
        <v>0</v>
      </c>
      <c r="O16" s="105"/>
    </row>
    <row r="17" spans="1:16" ht="19.5" customHeight="1" x14ac:dyDescent="0.55000000000000004">
      <c r="A17" s="310" t="s">
        <v>533</v>
      </c>
      <c r="B17" s="310"/>
      <c r="C17" s="310"/>
      <c r="D17" s="310"/>
      <c r="E17" s="310"/>
      <c r="F17" s="310"/>
      <c r="G17" s="310"/>
      <c r="H17" s="310"/>
      <c r="I17" s="310"/>
      <c r="J17" s="310"/>
      <c r="K17" s="310"/>
      <c r="L17" s="310"/>
      <c r="M17" s="310"/>
      <c r="N17" s="310"/>
      <c r="O17" s="310"/>
      <c r="P17" s="310"/>
    </row>
    <row r="18" spans="1:16" ht="15" customHeight="1" x14ac:dyDescent="0.55000000000000004">
      <c r="A18" s="86">
        <v>10</v>
      </c>
      <c r="B18" s="87" t="s">
        <v>371</v>
      </c>
      <c r="C18" s="97">
        <f>'3_Balance_Sheet'!C52</f>
        <v>0</v>
      </c>
      <c r="D18" s="97">
        <f>'3_Balance_Sheet'!D52</f>
        <v>0</v>
      </c>
      <c r="E18" s="97">
        <f>'3_Balance_Sheet'!E52</f>
        <v>0</v>
      </c>
      <c r="F18" s="97">
        <f>'3_Balance_Sheet'!F52</f>
        <v>0</v>
      </c>
      <c r="G18" s="97">
        <f>'3_Balance_Sheet'!G52</f>
        <v>0</v>
      </c>
      <c r="H18" s="97">
        <f>'3_Balance_Sheet'!H52</f>
        <v>0</v>
      </c>
      <c r="I18" s="97">
        <f>'3_Balance_Sheet'!I52</f>
        <v>0</v>
      </c>
      <c r="J18" s="97">
        <f>'3_Balance_Sheet'!J52</f>
        <v>0</v>
      </c>
      <c r="K18" s="97">
        <f>'3_Balance_Sheet'!K52</f>
        <v>0</v>
      </c>
      <c r="L18" s="97">
        <f>'3_Balance_Sheet'!L52</f>
        <v>0</v>
      </c>
      <c r="M18" s="97">
        <f>'3_Balance_Sheet'!M52</f>
        <v>0</v>
      </c>
      <c r="N18" s="97">
        <f>'3_Balance_Sheet'!N52</f>
        <v>0</v>
      </c>
      <c r="O18" s="105"/>
    </row>
    <row r="19" spans="1:16" ht="15" customHeight="1" x14ac:dyDescent="0.55000000000000004">
      <c r="A19" s="86">
        <v>11</v>
      </c>
      <c r="B19" s="87" t="s">
        <v>23</v>
      </c>
      <c r="C19" s="107">
        <f>IFERROR('3_Balance_Sheet'!C40/'3_Balance_Sheet'!C52,0)</f>
        <v>0</v>
      </c>
      <c r="D19" s="107">
        <f>IFERROR('3_Balance_Sheet'!D40/'3_Balance_Sheet'!D52,0)</f>
        <v>0</v>
      </c>
      <c r="E19" s="107">
        <f>IFERROR('3_Balance_Sheet'!E40/'3_Balance_Sheet'!E52,0)</f>
        <v>0</v>
      </c>
      <c r="F19" s="107">
        <f>IFERROR('3_Balance_Sheet'!F40/'3_Balance_Sheet'!F52,0)</f>
        <v>0</v>
      </c>
      <c r="G19" s="107">
        <f>IFERROR('3_Balance_Sheet'!G40/'3_Balance_Sheet'!G52,0)</f>
        <v>0</v>
      </c>
      <c r="H19" s="107">
        <f>IFERROR('3_Balance_Sheet'!H40/'3_Balance_Sheet'!H52,0)</f>
        <v>0</v>
      </c>
      <c r="I19" s="107">
        <f>IFERROR('3_Balance_Sheet'!I40/'3_Balance_Sheet'!I52,0)</f>
        <v>0</v>
      </c>
      <c r="J19" s="107">
        <f>IFERROR('3_Balance_Sheet'!J40/'3_Balance_Sheet'!J52,0)</f>
        <v>0</v>
      </c>
      <c r="K19" s="107">
        <f>IFERROR('3_Balance_Sheet'!K40/'3_Balance_Sheet'!K52,0)</f>
        <v>0</v>
      </c>
      <c r="L19" s="107">
        <f>IFERROR('3_Balance_Sheet'!L40/'3_Balance_Sheet'!L52,0)</f>
        <v>0</v>
      </c>
      <c r="M19" s="107">
        <f>IFERROR('3_Balance_Sheet'!M40/'3_Balance_Sheet'!M52,0)</f>
        <v>0</v>
      </c>
      <c r="N19" s="107">
        <f>IFERROR('3_Balance_Sheet'!N40/'3_Balance_Sheet'!N52,0)</f>
        <v>0</v>
      </c>
      <c r="O19" s="105" t="s">
        <v>534</v>
      </c>
      <c r="P19" s="106" t="str">
        <f>IF(INDEX('3_Balance_Sheet'!C52:N52,1,LatestAudCol)&lt;=0,"⚠ Negative/Nil TNW — critical",IF(IFERROR(INDEX('3_Balance_Sheet'!C40:N40,1,LatestAudCol)/INDEX('3_Balance_Sheet'!C52:N52,1,LatestAudCol),0)&gt;MaxTOLTNW,"⚠ TOL/TNW breach: "&amp;TEXT(IFERROR(INDEX('3_Balance_Sheet'!C40:N40,1,LatestAudCol)/INDEX('3_Balance_Sheet'!C52:N52,1,LatestAudCol),0),"0.00x")&amp;" exceeds "&amp;TEXT(MaxTOLTNW,"0.00x")&amp;" cap","✓ Leverage within tolerance"))</f>
        <v>⚠ Negative/Nil TNW — critical</v>
      </c>
    </row>
    <row r="20" spans="1:16" ht="15" customHeight="1" x14ac:dyDescent="0.55000000000000004">
      <c r="A20" s="86">
        <v>12</v>
      </c>
      <c r="B20" s="87" t="s">
        <v>535</v>
      </c>
      <c r="C20" s="107">
        <f>IFERROR('3_Balance_Sheet'!C39/'3_Balance_Sheet'!C52,0)</f>
        <v>0</v>
      </c>
      <c r="D20" s="107">
        <f>IFERROR('3_Balance_Sheet'!D39/'3_Balance_Sheet'!D52,0)</f>
        <v>0</v>
      </c>
      <c r="E20" s="107">
        <f>IFERROR('3_Balance_Sheet'!E39/'3_Balance_Sheet'!E52,0)</f>
        <v>0</v>
      </c>
      <c r="F20" s="107">
        <f>IFERROR('3_Balance_Sheet'!F39/'3_Balance_Sheet'!F52,0)</f>
        <v>0</v>
      </c>
      <c r="G20" s="107">
        <f>IFERROR('3_Balance_Sheet'!G39/'3_Balance_Sheet'!G52,0)</f>
        <v>0</v>
      </c>
      <c r="H20" s="107">
        <f>IFERROR('3_Balance_Sheet'!H39/'3_Balance_Sheet'!H52,0)</f>
        <v>0</v>
      </c>
      <c r="I20" s="107">
        <f>IFERROR('3_Balance_Sheet'!I39/'3_Balance_Sheet'!I52,0)</f>
        <v>0</v>
      </c>
      <c r="J20" s="107">
        <f>IFERROR('3_Balance_Sheet'!J39/'3_Balance_Sheet'!J52,0)</f>
        <v>0</v>
      </c>
      <c r="K20" s="107">
        <f>IFERROR('3_Balance_Sheet'!K39/'3_Balance_Sheet'!K52,0)</f>
        <v>0</v>
      </c>
      <c r="L20" s="107">
        <f>IFERROR('3_Balance_Sheet'!L39/'3_Balance_Sheet'!L52,0)</f>
        <v>0</v>
      </c>
      <c r="M20" s="107">
        <f>IFERROR('3_Balance_Sheet'!M39/'3_Balance_Sheet'!M52,0)</f>
        <v>0</v>
      </c>
      <c r="N20" s="107">
        <f>IFERROR('3_Balance_Sheet'!N39/'3_Balance_Sheet'!N52,0)</f>
        <v>0</v>
      </c>
      <c r="O20" s="105" t="s">
        <v>536</v>
      </c>
    </row>
    <row r="21" spans="1:16" ht="15" customHeight="1" x14ac:dyDescent="0.55000000000000004">
      <c r="A21" s="86">
        <v>13</v>
      </c>
      <c r="B21" s="87" t="s">
        <v>537</v>
      </c>
      <c r="C21" s="107">
        <f>IFERROR('3_Balance_Sheet'!C39/('2_Operating_Statement'!C33+'2_Operating_Statement'!C24),0)</f>
        <v>0</v>
      </c>
      <c r="D21" s="107">
        <f>IFERROR('3_Balance_Sheet'!D39/('2_Operating_Statement'!D33+'2_Operating_Statement'!D24),0)</f>
        <v>0</v>
      </c>
      <c r="E21" s="107">
        <f>IFERROR('3_Balance_Sheet'!E39/('2_Operating_Statement'!E33+'2_Operating_Statement'!E24),0)</f>
        <v>0</v>
      </c>
      <c r="F21" s="107">
        <f>IFERROR('3_Balance_Sheet'!F39/('2_Operating_Statement'!F33+'2_Operating_Statement'!F24),0)</f>
        <v>0</v>
      </c>
      <c r="G21" s="107">
        <f>IFERROR('3_Balance_Sheet'!G39/('2_Operating_Statement'!G33+'2_Operating_Statement'!G24),0)</f>
        <v>0</v>
      </c>
      <c r="H21" s="107">
        <f>IFERROR('3_Balance_Sheet'!H39/('2_Operating_Statement'!H33+'2_Operating_Statement'!H24),0)</f>
        <v>0</v>
      </c>
      <c r="I21" s="107">
        <f>IFERROR('3_Balance_Sheet'!I39/('2_Operating_Statement'!I33+'2_Operating_Statement'!I24),0)</f>
        <v>0</v>
      </c>
      <c r="J21" s="107">
        <f>IFERROR('3_Balance_Sheet'!J39/('2_Operating_Statement'!J33+'2_Operating_Statement'!J24),0)</f>
        <v>0</v>
      </c>
      <c r="K21" s="107">
        <f>IFERROR('3_Balance_Sheet'!K39/('2_Operating_Statement'!K33+'2_Operating_Statement'!K24),0)</f>
        <v>0</v>
      </c>
      <c r="L21" s="107">
        <f>IFERROR('3_Balance_Sheet'!L39/('2_Operating_Statement'!L33+'2_Operating_Statement'!L24),0)</f>
        <v>0</v>
      </c>
      <c r="M21" s="107">
        <f>IFERROR('3_Balance_Sheet'!M39/('2_Operating_Statement'!M33+'2_Operating_Statement'!M24),0)</f>
        <v>0</v>
      </c>
      <c r="N21" s="107">
        <f>IFERROR('3_Balance_Sheet'!N39/('2_Operating_Statement'!N33+'2_Operating_Statement'!N24),0)</f>
        <v>0</v>
      </c>
      <c r="O21" s="105" t="s">
        <v>538</v>
      </c>
      <c r="P21" s="106" t="str">
        <f>IF((INDEX('2_Operating_Statement'!C33:N33,1,LatestAudCol)+INDEX('2_Operating_Statement'!C24:N24,1,LatestAudCol))&lt;=0,"⚠ EBITDA negative or zero — leverage ratio undefined",IF(IFERROR(INDEX('3_Balance_Sheet'!C39:N39,1,LatestAudCol)/(INDEX('2_Operating_Statement'!C33:N33,1,LatestAudCol)+INDEX('2_Operating_Statement'!C24:N24,1,LatestAudCol)),0)&gt;MaxLeverage,"⚠ Leverage breach: Debt/EBITDA exceeds "&amp;TEXT(MaxLeverage,"0.00x"),"✓ Debt/EBITDA within ceiling"))</f>
        <v>⚠ EBITDA negative or zero — leverage ratio undefined</v>
      </c>
    </row>
    <row r="22" spans="1:16" ht="19.5" customHeight="1" x14ac:dyDescent="0.55000000000000004">
      <c r="A22" s="310" t="s">
        <v>539</v>
      </c>
      <c r="B22" s="310"/>
      <c r="C22" s="310"/>
      <c r="D22" s="310"/>
      <c r="E22" s="310"/>
      <c r="F22" s="310"/>
      <c r="G22" s="310"/>
      <c r="H22" s="310"/>
      <c r="I22" s="310"/>
      <c r="J22" s="310"/>
      <c r="K22" s="310"/>
      <c r="L22" s="310"/>
      <c r="M22" s="310"/>
      <c r="N22" s="310"/>
      <c r="O22" s="310"/>
      <c r="P22" s="310"/>
    </row>
    <row r="23" spans="1:16" ht="15" customHeight="1" x14ac:dyDescent="0.55000000000000004">
      <c r="A23" s="86">
        <v>14</v>
      </c>
      <c r="B23" s="87" t="s">
        <v>540</v>
      </c>
      <c r="C23" s="107">
        <f>IFERROR('2_Operating_Statement'!C33/'2_Operating_Statement'!C37,0)</f>
        <v>0</v>
      </c>
      <c r="D23" s="107">
        <f>IFERROR('2_Operating_Statement'!D33/'2_Operating_Statement'!D37,0)</f>
        <v>0</v>
      </c>
      <c r="E23" s="107">
        <f>IFERROR('2_Operating_Statement'!E33/'2_Operating_Statement'!E37,0)</f>
        <v>0</v>
      </c>
      <c r="F23" s="107">
        <f>IFERROR('2_Operating_Statement'!F33/'2_Operating_Statement'!F37,0)</f>
        <v>0</v>
      </c>
      <c r="G23" s="107">
        <f>IFERROR('2_Operating_Statement'!G33/'2_Operating_Statement'!G37,0)</f>
        <v>0</v>
      </c>
      <c r="H23" s="107">
        <f>IFERROR('2_Operating_Statement'!H33/'2_Operating_Statement'!H37,0)</f>
        <v>0</v>
      </c>
      <c r="I23" s="107">
        <f>IFERROR('2_Operating_Statement'!I33/'2_Operating_Statement'!I37,0)</f>
        <v>0</v>
      </c>
      <c r="J23" s="107">
        <f>IFERROR('2_Operating_Statement'!J33/'2_Operating_Statement'!J37,0)</f>
        <v>0</v>
      </c>
      <c r="K23" s="107">
        <f>IFERROR('2_Operating_Statement'!K33/'2_Operating_Statement'!K37,0)</f>
        <v>0</v>
      </c>
      <c r="L23" s="107">
        <f>IFERROR('2_Operating_Statement'!L33/'2_Operating_Statement'!L37,0)</f>
        <v>0</v>
      </c>
      <c r="M23" s="107">
        <f>IFERROR('2_Operating_Statement'!M33/'2_Operating_Statement'!M37,0)</f>
        <v>0</v>
      </c>
      <c r="N23" s="107">
        <f>IFERROR('2_Operating_Statement'!N33/'2_Operating_Statement'!N37,0)</f>
        <v>0</v>
      </c>
      <c r="O23" s="105" t="s">
        <v>541</v>
      </c>
      <c r="P23" s="106" t="str">
        <f>IF(INDEX('2_Operating_Statement'!C37:N37,1,LatestAudCol)&lt;=0,"No interest in latest year",IF(IFERROR(INDEX('2_Operating_Statement'!C33:N33,1,LatestAudCol)/INDEX('2_Operating_Statement'!C37:N37,1,LatestAudCol),0)&lt;MinICR,"⚠ ICR breach: "&amp;TEXT(IFERROR(INDEX('2_Operating_Statement'!C33:N33,1,LatestAudCol)/INDEX('2_Operating_Statement'!C37:N37,1,LatestAudCol),0),"0.00x")&amp;" below "&amp;TEXT(MinICR,"0.00x"),"✓ ICR satisfactory"))</f>
        <v>No interest in latest year</v>
      </c>
    </row>
    <row r="24" spans="1:16" ht="15" customHeight="1" x14ac:dyDescent="0.55000000000000004">
      <c r="A24" s="86">
        <v>15</v>
      </c>
      <c r="B24" s="87" t="s">
        <v>542</v>
      </c>
      <c r="C24" s="107">
        <f>'4_DSCR'!C17</f>
        <v>0</v>
      </c>
      <c r="D24" s="107">
        <f>'4_DSCR'!D17</f>
        <v>0</v>
      </c>
      <c r="E24" s="107">
        <f>'4_DSCR'!E17</f>
        <v>0</v>
      </c>
      <c r="F24" s="107">
        <f>'4_DSCR'!F17</f>
        <v>0</v>
      </c>
      <c r="G24" s="107">
        <f>'4_DSCR'!G17</f>
        <v>0</v>
      </c>
      <c r="H24" s="107">
        <f>'4_DSCR'!H17</f>
        <v>0</v>
      </c>
      <c r="I24" s="107">
        <f>'4_DSCR'!I17</f>
        <v>0</v>
      </c>
      <c r="J24" s="107">
        <f>'4_DSCR'!J17</f>
        <v>0</v>
      </c>
      <c r="K24" s="107">
        <f>'4_DSCR'!K17</f>
        <v>0</v>
      </c>
      <c r="L24" s="107">
        <f>'4_DSCR'!L17</f>
        <v>0</v>
      </c>
      <c r="M24" s="107">
        <f>'4_DSCR'!M17</f>
        <v>0</v>
      </c>
      <c r="N24" s="107">
        <f>'4_DSCR'!N17</f>
        <v>0</v>
      </c>
      <c r="O24" s="105" t="s">
        <v>543</v>
      </c>
    </row>
    <row r="25" spans="1:16" ht="15" customHeight="1" x14ac:dyDescent="0.55000000000000004">
      <c r="A25" s="86">
        <v>16</v>
      </c>
      <c r="B25" s="87" t="s">
        <v>544</v>
      </c>
      <c r="C25" s="107" t="str">
        <f>IF(1=LatestAudCol,'4_DSCR'!C19,"")</f>
        <v/>
      </c>
      <c r="D25" s="107" t="str">
        <f>IF(2=LatestAudCol,'4_DSCR'!C19,"")</f>
        <v/>
      </c>
      <c r="E25" s="107" t="str">
        <f>IF(3=LatestAudCol,'4_DSCR'!C19,"")</f>
        <v/>
      </c>
      <c r="F25" s="107">
        <f>IF(4=LatestAudCol,'4_DSCR'!C19,"")</f>
        <v>0</v>
      </c>
      <c r="G25" s="107" t="str">
        <f>IF(5=LatestAudCol,'4_DSCR'!C19,"")</f>
        <v/>
      </c>
      <c r="H25" s="107" t="str">
        <f>IF(6=LatestAudCol,'4_DSCR'!C19,"")</f>
        <v/>
      </c>
      <c r="I25" s="107" t="str">
        <f>IF(7=LatestAudCol,'4_DSCR'!C19,"")</f>
        <v/>
      </c>
      <c r="J25" s="107" t="str">
        <f>IF(8=LatestAudCol,'4_DSCR'!C19,"")</f>
        <v/>
      </c>
      <c r="K25" s="107" t="str">
        <f>IF(9=LatestAudCol,'4_DSCR'!C19,"")</f>
        <v/>
      </c>
      <c r="L25" s="107" t="str">
        <f>IF(10=LatestAudCol,'4_DSCR'!C19,"")</f>
        <v/>
      </c>
      <c r="M25" s="107" t="str">
        <f>IF(11=LatestAudCol,'4_DSCR'!C19,"")</f>
        <v/>
      </c>
      <c r="N25" s="107" t="str">
        <f>IF(12=LatestAudCol,'4_DSCR'!C19,"")</f>
        <v/>
      </c>
      <c r="O25" s="105" t="s">
        <v>545</v>
      </c>
    </row>
    <row r="26" spans="1:16" ht="19.5" customHeight="1" x14ac:dyDescent="0.55000000000000004">
      <c r="A26" s="310" t="s">
        <v>546</v>
      </c>
      <c r="B26" s="310"/>
      <c r="C26" s="310"/>
      <c r="D26" s="310"/>
      <c r="E26" s="310"/>
      <c r="F26" s="310"/>
      <c r="G26" s="310"/>
      <c r="H26" s="310"/>
      <c r="I26" s="310"/>
      <c r="J26" s="310"/>
      <c r="K26" s="310"/>
      <c r="L26" s="310"/>
      <c r="M26" s="310"/>
      <c r="N26" s="310"/>
      <c r="O26" s="310"/>
      <c r="P26" s="310"/>
    </row>
    <row r="27" spans="1:16" ht="15" customHeight="1" x14ac:dyDescent="0.55000000000000004">
      <c r="A27" s="86">
        <v>17</v>
      </c>
      <c r="B27" s="87" t="s">
        <v>547</v>
      </c>
      <c r="C27" s="100">
        <f>IFERROR('3_Balance_Sheet'!C73*365/'2_Operating_Statement'!C13,0)</f>
        <v>0</v>
      </c>
      <c r="D27" s="100">
        <f>IFERROR('3_Balance_Sheet'!D73*365/'2_Operating_Statement'!D13,0)</f>
        <v>0</v>
      </c>
      <c r="E27" s="100">
        <f>IFERROR('3_Balance_Sheet'!E73*365/'2_Operating_Statement'!E13,0)</f>
        <v>0</v>
      </c>
      <c r="F27" s="100">
        <f>IFERROR('3_Balance_Sheet'!F73*365/'2_Operating_Statement'!F13,0)</f>
        <v>0</v>
      </c>
      <c r="G27" s="100">
        <f>IFERROR('3_Balance_Sheet'!G73*365/'2_Operating_Statement'!G13,0)</f>
        <v>0</v>
      </c>
      <c r="H27" s="100">
        <f>IFERROR('3_Balance_Sheet'!H73*365/'2_Operating_Statement'!H13,0)</f>
        <v>0</v>
      </c>
      <c r="I27" s="100">
        <f>IFERROR('3_Balance_Sheet'!I73*365/'2_Operating_Statement'!I13,0)</f>
        <v>0</v>
      </c>
      <c r="J27" s="100">
        <f>IFERROR('3_Balance_Sheet'!J73*365/'2_Operating_Statement'!J13,0)</f>
        <v>0</v>
      </c>
      <c r="K27" s="100">
        <f>IFERROR('3_Balance_Sheet'!K73*365/'2_Operating_Statement'!K13,0)</f>
        <v>0</v>
      </c>
      <c r="L27" s="100">
        <f>IFERROR('3_Balance_Sheet'!L73*365/'2_Operating_Statement'!L13,0)</f>
        <v>0</v>
      </c>
      <c r="M27" s="100">
        <f>IFERROR('3_Balance_Sheet'!M73*365/'2_Operating_Statement'!M13,0)</f>
        <v>0</v>
      </c>
      <c r="N27" s="100">
        <f>IFERROR('3_Balance_Sheet'!N73*365/'2_Operating_Statement'!N13,0)</f>
        <v>0</v>
      </c>
      <c r="O27" s="105" t="s">
        <v>548</v>
      </c>
    </row>
    <row r="28" spans="1:16" ht="15" customHeight="1" x14ac:dyDescent="0.55000000000000004">
      <c r="A28" s="86">
        <v>18</v>
      </c>
      <c r="B28" s="87" t="s">
        <v>549</v>
      </c>
      <c r="C28" s="100">
        <f>IFERROR(('3_Balance_Sheet'!C59+'3_Balance_Sheet'!C60)*365/'2_Operating_Statement'!C10,0)</f>
        <v>0</v>
      </c>
      <c r="D28" s="100">
        <f>IFERROR(('3_Balance_Sheet'!D59+'3_Balance_Sheet'!D60)*365/'2_Operating_Statement'!D10,0)</f>
        <v>0</v>
      </c>
      <c r="E28" s="100">
        <f>IFERROR(('3_Balance_Sheet'!E59+'3_Balance_Sheet'!E60)*365/'2_Operating_Statement'!E10,0)</f>
        <v>0</v>
      </c>
      <c r="F28" s="100">
        <f>IFERROR(('3_Balance_Sheet'!F59+'3_Balance_Sheet'!F60)*365/'2_Operating_Statement'!F10,0)</f>
        <v>0</v>
      </c>
      <c r="G28" s="100">
        <f>IFERROR(('3_Balance_Sheet'!G59+'3_Balance_Sheet'!G60)*365/'2_Operating_Statement'!G10,0)</f>
        <v>0</v>
      </c>
      <c r="H28" s="100">
        <f>IFERROR(('3_Balance_Sheet'!H59+'3_Balance_Sheet'!H60)*365/'2_Operating_Statement'!H10,0)</f>
        <v>0</v>
      </c>
      <c r="I28" s="100">
        <f>IFERROR(('3_Balance_Sheet'!I59+'3_Balance_Sheet'!I60)*365/'2_Operating_Statement'!I10,0)</f>
        <v>0</v>
      </c>
      <c r="J28" s="100">
        <f>IFERROR(('3_Balance_Sheet'!J59+'3_Balance_Sheet'!J60)*365/'2_Operating_Statement'!J10,0)</f>
        <v>0</v>
      </c>
      <c r="K28" s="100">
        <f>IFERROR(('3_Balance_Sheet'!K59+'3_Balance_Sheet'!K60)*365/'2_Operating_Statement'!K10,0)</f>
        <v>0</v>
      </c>
      <c r="L28" s="100">
        <f>IFERROR(('3_Balance_Sheet'!L59+'3_Balance_Sheet'!L60)*365/'2_Operating_Statement'!L10,0)</f>
        <v>0</v>
      </c>
      <c r="M28" s="100">
        <f>IFERROR(('3_Balance_Sheet'!M59+'3_Balance_Sheet'!M60)*365/'2_Operating_Statement'!M10,0)</f>
        <v>0</v>
      </c>
      <c r="N28" s="100">
        <f>IFERROR(('3_Balance_Sheet'!N59+'3_Balance_Sheet'!N60)*365/'2_Operating_Statement'!N10,0)</f>
        <v>0</v>
      </c>
      <c r="O28" s="105" t="s">
        <v>548</v>
      </c>
      <c r="P28" s="106" t="str">
        <f>IF(INDEX('2_Operating_Statement'!C10:N10,1,LatestAudCol)&lt;=0,"",IF(IFERROR(((INDEX('3_Balance_Sheet'!C59:N59,1,LatestAudCol)+INDEX('3_Balance_Sheet'!C60:N60,1,LatestAudCol))/(INDEX('3_Balance_Sheet'!C59:N59,1,PriorAudCol)+INDEX('3_Balance_Sheet'!C60:N60,1,PriorAudCol))-1),0)&gt;MaxDSOIncrease,"⚠ DSO stretched materially — investigate ageing &amp; overdue receivables","✓ DSO within tolerance"))</f>
        <v/>
      </c>
    </row>
    <row r="29" spans="1:16" ht="15" customHeight="1" x14ac:dyDescent="0.55000000000000004">
      <c r="A29" s="86">
        <v>19</v>
      </c>
      <c r="B29" s="87" t="s">
        <v>550</v>
      </c>
      <c r="C29" s="100">
        <f>IFERROR(('3_Balance_Sheet'!C14+'3_Balance_Sheet'!C15)*365/('2_Operating_Statement'!C17+'2_Operating_Statement'!C20),0)</f>
        <v>0</v>
      </c>
      <c r="D29" s="100">
        <f>IFERROR(('3_Balance_Sheet'!D14+'3_Balance_Sheet'!D15)*365/('2_Operating_Statement'!D17+'2_Operating_Statement'!D20),0)</f>
        <v>0</v>
      </c>
      <c r="E29" s="100">
        <f>IFERROR(('3_Balance_Sheet'!E14+'3_Balance_Sheet'!E15)*365/('2_Operating_Statement'!E17+'2_Operating_Statement'!E20),0)</f>
        <v>0</v>
      </c>
      <c r="F29" s="100">
        <f>IFERROR(('3_Balance_Sheet'!F14+'3_Balance_Sheet'!F15)*365/('2_Operating_Statement'!F17+'2_Operating_Statement'!F20),0)</f>
        <v>0</v>
      </c>
      <c r="G29" s="100">
        <f>IFERROR(('3_Balance_Sheet'!G14+'3_Balance_Sheet'!G15)*365/('2_Operating_Statement'!G17+'2_Operating_Statement'!G20),0)</f>
        <v>0</v>
      </c>
      <c r="H29" s="100">
        <f>IFERROR(('3_Balance_Sheet'!H14+'3_Balance_Sheet'!H15)*365/('2_Operating_Statement'!H17+'2_Operating_Statement'!H20),0)</f>
        <v>0</v>
      </c>
      <c r="I29" s="100">
        <f>IFERROR(('3_Balance_Sheet'!I14+'3_Balance_Sheet'!I15)*365/('2_Operating_Statement'!I17+'2_Operating_Statement'!I20),0)</f>
        <v>0</v>
      </c>
      <c r="J29" s="100">
        <f>IFERROR(('3_Balance_Sheet'!J14+'3_Balance_Sheet'!J15)*365/('2_Operating_Statement'!J17+'2_Operating_Statement'!J20),0)</f>
        <v>0</v>
      </c>
      <c r="K29" s="100">
        <f>IFERROR(('3_Balance_Sheet'!K14+'3_Balance_Sheet'!K15)*365/('2_Operating_Statement'!K17+'2_Operating_Statement'!K20),0)</f>
        <v>0</v>
      </c>
      <c r="L29" s="100">
        <f>IFERROR(('3_Balance_Sheet'!L14+'3_Balance_Sheet'!L15)*365/('2_Operating_Statement'!L17+'2_Operating_Statement'!L20),0)</f>
        <v>0</v>
      </c>
      <c r="M29" s="100">
        <f>IFERROR(('3_Balance_Sheet'!M14+'3_Balance_Sheet'!M15)*365/('2_Operating_Statement'!M17+'2_Operating_Statement'!M20),0)</f>
        <v>0</v>
      </c>
      <c r="N29" s="100">
        <f>IFERROR(('3_Balance_Sheet'!N14+'3_Balance_Sheet'!N15)*365/('2_Operating_Statement'!N17+'2_Operating_Statement'!N20),0)</f>
        <v>0</v>
      </c>
      <c r="O29" s="105" t="s">
        <v>548</v>
      </c>
    </row>
    <row r="30" spans="1:16" ht="15" customHeight="1" x14ac:dyDescent="0.55000000000000004">
      <c r="A30" s="86">
        <v>20</v>
      </c>
      <c r="B30" s="87" t="s">
        <v>551</v>
      </c>
      <c r="C30" s="100">
        <f>IFERROR('3_Balance_Sheet'!C73*365/'2_Operating_Statement'!C13,0)+IFERROR(('3_Balance_Sheet'!C59+'3_Balance_Sheet'!C60)*365/'2_Operating_Statement'!C10,0)-IFERROR(('3_Balance_Sheet'!C14+'3_Balance_Sheet'!C15)*365/('2_Operating_Statement'!C17+'2_Operating_Statement'!C20),0)</f>
        <v>0</v>
      </c>
      <c r="D30" s="100">
        <f>IFERROR('3_Balance_Sheet'!D73*365/'2_Operating_Statement'!D13,0)+IFERROR(('3_Balance_Sheet'!D59+'3_Balance_Sheet'!D60)*365/'2_Operating_Statement'!D10,0)-IFERROR(('3_Balance_Sheet'!D14+'3_Balance_Sheet'!D15)*365/('2_Operating_Statement'!D17+'2_Operating_Statement'!D20),0)</f>
        <v>0</v>
      </c>
      <c r="E30" s="100">
        <f>IFERROR('3_Balance_Sheet'!E73*365/'2_Operating_Statement'!E13,0)+IFERROR(('3_Balance_Sheet'!E59+'3_Balance_Sheet'!E60)*365/'2_Operating_Statement'!E10,0)-IFERROR(('3_Balance_Sheet'!E14+'3_Balance_Sheet'!E15)*365/('2_Operating_Statement'!E17+'2_Operating_Statement'!E20),0)</f>
        <v>0</v>
      </c>
      <c r="F30" s="100">
        <f>IFERROR('3_Balance_Sheet'!F73*365/'2_Operating_Statement'!F13,0)+IFERROR(('3_Balance_Sheet'!F59+'3_Balance_Sheet'!F60)*365/'2_Operating_Statement'!F10,0)-IFERROR(('3_Balance_Sheet'!F14+'3_Balance_Sheet'!F15)*365/('2_Operating_Statement'!F17+'2_Operating_Statement'!F20),0)</f>
        <v>0</v>
      </c>
      <c r="G30" s="100">
        <f>IFERROR('3_Balance_Sheet'!G73*365/'2_Operating_Statement'!G13,0)+IFERROR(('3_Balance_Sheet'!G59+'3_Balance_Sheet'!G60)*365/'2_Operating_Statement'!G10,0)-IFERROR(('3_Balance_Sheet'!G14+'3_Balance_Sheet'!G15)*365/('2_Operating_Statement'!G17+'2_Operating_Statement'!G20),0)</f>
        <v>0</v>
      </c>
      <c r="H30" s="100">
        <f>IFERROR('3_Balance_Sheet'!H73*365/'2_Operating_Statement'!H13,0)+IFERROR(('3_Balance_Sheet'!H59+'3_Balance_Sheet'!H60)*365/'2_Operating_Statement'!H10,0)-IFERROR(('3_Balance_Sheet'!H14+'3_Balance_Sheet'!H15)*365/('2_Operating_Statement'!H17+'2_Operating_Statement'!H20),0)</f>
        <v>0</v>
      </c>
      <c r="I30" s="100">
        <f>IFERROR('3_Balance_Sheet'!I73*365/'2_Operating_Statement'!I13,0)+IFERROR(('3_Balance_Sheet'!I59+'3_Balance_Sheet'!I60)*365/'2_Operating_Statement'!I10,0)-IFERROR(('3_Balance_Sheet'!I14+'3_Balance_Sheet'!I15)*365/('2_Operating_Statement'!I17+'2_Operating_Statement'!I20),0)</f>
        <v>0</v>
      </c>
      <c r="J30" s="100">
        <f>IFERROR('3_Balance_Sheet'!J73*365/'2_Operating_Statement'!J13,0)+IFERROR(('3_Balance_Sheet'!J59+'3_Balance_Sheet'!J60)*365/'2_Operating_Statement'!J10,0)-IFERROR(('3_Balance_Sheet'!J14+'3_Balance_Sheet'!J15)*365/('2_Operating_Statement'!J17+'2_Operating_Statement'!J20),0)</f>
        <v>0</v>
      </c>
      <c r="K30" s="100">
        <f>IFERROR('3_Balance_Sheet'!K73*365/'2_Operating_Statement'!K13,0)+IFERROR(('3_Balance_Sheet'!K59+'3_Balance_Sheet'!K60)*365/'2_Operating_Statement'!K10,0)-IFERROR(('3_Balance_Sheet'!K14+'3_Balance_Sheet'!K15)*365/('2_Operating_Statement'!K17+'2_Operating_Statement'!K20),0)</f>
        <v>0</v>
      </c>
      <c r="L30" s="100">
        <f>IFERROR('3_Balance_Sheet'!L73*365/'2_Operating_Statement'!L13,0)+IFERROR(('3_Balance_Sheet'!L59+'3_Balance_Sheet'!L60)*365/'2_Operating_Statement'!L10,0)-IFERROR(('3_Balance_Sheet'!L14+'3_Balance_Sheet'!L15)*365/('2_Operating_Statement'!L17+'2_Operating_Statement'!L20),0)</f>
        <v>0</v>
      </c>
      <c r="M30" s="100">
        <f>IFERROR('3_Balance_Sheet'!M73*365/'2_Operating_Statement'!M13,0)+IFERROR(('3_Balance_Sheet'!M59+'3_Balance_Sheet'!M60)*365/'2_Operating_Statement'!M10,0)-IFERROR(('3_Balance_Sheet'!M14+'3_Balance_Sheet'!M15)*365/('2_Operating_Statement'!M17+'2_Operating_Statement'!M20),0)</f>
        <v>0</v>
      </c>
      <c r="N30" s="100">
        <f>IFERROR('3_Balance_Sheet'!N73*365/'2_Operating_Statement'!N13,0)+IFERROR(('3_Balance_Sheet'!N59+'3_Balance_Sheet'!N60)*365/'2_Operating_Statement'!N10,0)-IFERROR(('3_Balance_Sheet'!N14+'3_Balance_Sheet'!N15)*365/('2_Operating_Statement'!N17+'2_Operating_Statement'!N20),0)</f>
        <v>0</v>
      </c>
      <c r="O30" s="105" t="s">
        <v>548</v>
      </c>
    </row>
    <row r="31" spans="1:16" ht="19.5" customHeight="1" x14ac:dyDescent="0.55000000000000004">
      <c r="A31" s="310" t="s">
        <v>552</v>
      </c>
      <c r="B31" s="310"/>
      <c r="C31" s="310"/>
      <c r="D31" s="310"/>
      <c r="E31" s="310"/>
      <c r="F31" s="310"/>
      <c r="G31" s="310"/>
      <c r="H31" s="310"/>
      <c r="I31" s="310"/>
      <c r="J31" s="310"/>
      <c r="K31" s="310"/>
      <c r="L31" s="310"/>
      <c r="M31" s="310"/>
      <c r="N31" s="310"/>
      <c r="O31" s="310"/>
      <c r="P31" s="310"/>
    </row>
    <row r="32" spans="1:16" ht="15" customHeight="1" x14ac:dyDescent="0.55000000000000004">
      <c r="A32" s="86">
        <v>21</v>
      </c>
      <c r="B32" s="87" t="s">
        <v>553</v>
      </c>
      <c r="C32" s="99">
        <f>IFERROR(('2_Operating_Statement'!C33)/('3_Balance_Sheet'!C52+'3_Balance_Sheet'!C39),0)</f>
        <v>0</v>
      </c>
      <c r="D32" s="99">
        <f>IFERROR(('2_Operating_Statement'!D33)/('3_Balance_Sheet'!D52+'3_Balance_Sheet'!D39),0)</f>
        <v>0</v>
      </c>
      <c r="E32" s="99">
        <f>IFERROR(('2_Operating_Statement'!E33)/('3_Balance_Sheet'!E52+'3_Balance_Sheet'!E39),0)</f>
        <v>0</v>
      </c>
      <c r="F32" s="99">
        <f>IFERROR(('2_Operating_Statement'!F33)/('3_Balance_Sheet'!F52+'3_Balance_Sheet'!F39),0)</f>
        <v>0</v>
      </c>
      <c r="G32" s="99">
        <f>IFERROR(('2_Operating_Statement'!G33)/('3_Balance_Sheet'!G52+'3_Balance_Sheet'!G39),0)</f>
        <v>0</v>
      </c>
      <c r="H32" s="99">
        <f>IFERROR(('2_Operating_Statement'!H33)/('3_Balance_Sheet'!H52+'3_Balance_Sheet'!H39),0)</f>
        <v>0</v>
      </c>
      <c r="I32" s="99">
        <f>IFERROR(('2_Operating_Statement'!I33)/('3_Balance_Sheet'!I52+'3_Balance_Sheet'!I39),0)</f>
        <v>0</v>
      </c>
      <c r="J32" s="99">
        <f>IFERROR(('2_Operating_Statement'!J33)/('3_Balance_Sheet'!J52+'3_Balance_Sheet'!J39),0)</f>
        <v>0</v>
      </c>
      <c r="K32" s="99">
        <f>IFERROR(('2_Operating_Statement'!K33)/('3_Balance_Sheet'!K52+'3_Balance_Sheet'!K39),0)</f>
        <v>0</v>
      </c>
      <c r="L32" s="99">
        <f>IFERROR(('2_Operating_Statement'!L33)/('3_Balance_Sheet'!L52+'3_Balance_Sheet'!L39),0)</f>
        <v>0</v>
      </c>
      <c r="M32" s="99">
        <f>IFERROR(('2_Operating_Statement'!M33)/('3_Balance_Sheet'!M52+'3_Balance_Sheet'!M39),0)</f>
        <v>0</v>
      </c>
      <c r="N32" s="99">
        <f>IFERROR(('2_Operating_Statement'!N33)/('3_Balance_Sheet'!N52+'3_Balance_Sheet'!N39),0)</f>
        <v>0</v>
      </c>
      <c r="O32" s="105" t="s">
        <v>554</v>
      </c>
    </row>
    <row r="33" spans="1:15" ht="15" customHeight="1" x14ac:dyDescent="0.55000000000000004">
      <c r="A33" s="86">
        <v>22</v>
      </c>
      <c r="B33" s="87" t="s">
        <v>555</v>
      </c>
      <c r="C33" s="99">
        <f>IFERROR('2_Operating_Statement'!C58/'3_Balance_Sheet'!C52,0)</f>
        <v>0</v>
      </c>
      <c r="D33" s="99">
        <f>IFERROR('2_Operating_Statement'!D58/'3_Balance_Sheet'!D52,0)</f>
        <v>0</v>
      </c>
      <c r="E33" s="99">
        <f>IFERROR('2_Operating_Statement'!E58/'3_Balance_Sheet'!E52,0)</f>
        <v>0</v>
      </c>
      <c r="F33" s="99">
        <f>IFERROR('2_Operating_Statement'!F58/'3_Balance_Sheet'!F52,0)</f>
        <v>0</v>
      </c>
      <c r="G33" s="99">
        <f>IFERROR('2_Operating_Statement'!G58/'3_Balance_Sheet'!G52,0)</f>
        <v>0</v>
      </c>
      <c r="H33" s="99">
        <f>IFERROR('2_Operating_Statement'!H58/'3_Balance_Sheet'!H52,0)</f>
        <v>0</v>
      </c>
      <c r="I33" s="99">
        <f>IFERROR('2_Operating_Statement'!I58/'3_Balance_Sheet'!I52,0)</f>
        <v>0</v>
      </c>
      <c r="J33" s="99">
        <f>IFERROR('2_Operating_Statement'!J58/'3_Balance_Sheet'!J52,0)</f>
        <v>0</v>
      </c>
      <c r="K33" s="99">
        <f>IFERROR('2_Operating_Statement'!K58/'3_Balance_Sheet'!K52,0)</f>
        <v>0</v>
      </c>
      <c r="L33" s="99">
        <f>IFERROR('2_Operating_Statement'!L58/'3_Balance_Sheet'!L52,0)</f>
        <v>0</v>
      </c>
      <c r="M33" s="99">
        <f>IFERROR('2_Operating_Statement'!M58/'3_Balance_Sheet'!M52,0)</f>
        <v>0</v>
      </c>
      <c r="N33" s="99">
        <f>IFERROR('2_Operating_Statement'!N58/'3_Balance_Sheet'!N52,0)</f>
        <v>0</v>
      </c>
      <c r="O33" s="105" t="s">
        <v>556</v>
      </c>
    </row>
  </sheetData>
  <mergeCells count="8">
    <mergeCell ref="A22:P22"/>
    <mergeCell ref="A26:P26"/>
    <mergeCell ref="A31:P31"/>
    <mergeCell ref="A1:P1"/>
    <mergeCell ref="A2:P2"/>
    <mergeCell ref="A6:P6"/>
    <mergeCell ref="A13:P13"/>
    <mergeCell ref="A17:P17"/>
  </mergeCells>
  <conditionalFormatting sqref="C4:C33">
    <cfRule type="expression" dxfId="40" priority="15">
      <formula>1&gt;TotalCols</formula>
    </cfRule>
  </conditionalFormatting>
  <conditionalFormatting sqref="C8:N8">
    <cfRule type="expression" dxfId="39" priority="2">
      <formula>AND(C8&lt;&gt;"",C8&lt;MinSalesGrowth)</formula>
    </cfRule>
  </conditionalFormatting>
  <conditionalFormatting sqref="C14:N14">
    <cfRule type="expression" dxfId="38" priority="3">
      <formula>AND(C14&lt;&gt;0,C14&lt;MinCR)</formula>
    </cfRule>
    <cfRule type="expression" dxfId="37" priority="4">
      <formula>C14&gt;=MinCR</formula>
    </cfRule>
  </conditionalFormatting>
  <conditionalFormatting sqref="C19:N19">
    <cfRule type="expression" dxfId="36" priority="5">
      <formula>AND(C19&lt;&gt;0,C19&gt;MaxTOLTNW)</formula>
    </cfRule>
    <cfRule type="expression" dxfId="35" priority="6">
      <formula>AND(C19&gt;0,C19&lt;=MaxTOLTNW)</formula>
    </cfRule>
  </conditionalFormatting>
  <conditionalFormatting sqref="C21:N21">
    <cfRule type="expression" dxfId="34" priority="7">
      <formula>AND(C21&lt;&gt;0,C21&gt;MaxLeverage)</formula>
    </cfRule>
    <cfRule type="expression" dxfId="33" priority="8">
      <formula>AND(C21&gt;0,C21&lt;=MaxLeverage)</formula>
    </cfRule>
  </conditionalFormatting>
  <conditionalFormatting sqref="C23:N23">
    <cfRule type="expression" dxfId="32" priority="9">
      <formula>AND(C23&lt;&gt;0,C23&lt;MinICR)</formula>
    </cfRule>
    <cfRule type="expression" dxfId="31" priority="10">
      <formula>C23&gt;=MinICR</formula>
    </cfRule>
  </conditionalFormatting>
  <conditionalFormatting sqref="C24:N24">
    <cfRule type="expression" dxfId="30" priority="11">
      <formula>AND(C24&lt;&gt;0,C24&lt;MinDSCR_Any)</formula>
    </cfRule>
    <cfRule type="expression" dxfId="29" priority="12">
      <formula>C24&gt;=MinDSCR_Any</formula>
    </cfRule>
  </conditionalFormatting>
  <conditionalFormatting sqref="C25:N25">
    <cfRule type="expression" dxfId="28" priority="13">
      <formula>AND(C25&lt;&gt;0,C25&lt;MinDSCR_Avg)</formula>
    </cfRule>
    <cfRule type="expression" dxfId="27" priority="14">
      <formula>C25&gt;=MinDSCR_Avg</formula>
    </cfRule>
  </conditionalFormatting>
  <conditionalFormatting sqref="D4:D33">
    <cfRule type="expression" dxfId="26" priority="16">
      <formula>2&gt;TotalCols</formula>
    </cfRule>
  </conditionalFormatting>
  <conditionalFormatting sqref="E4:E33">
    <cfRule type="expression" dxfId="25" priority="17">
      <formula>3&gt;TotalCols</formula>
    </cfRule>
  </conditionalFormatting>
  <conditionalFormatting sqref="F4:F33">
    <cfRule type="expression" dxfId="24" priority="18">
      <formula>4&gt;TotalCols</formula>
    </cfRule>
  </conditionalFormatting>
  <conditionalFormatting sqref="G4:G33">
    <cfRule type="expression" dxfId="23" priority="19">
      <formula>5&gt;TotalCols</formula>
    </cfRule>
  </conditionalFormatting>
  <conditionalFormatting sqref="H4:H33">
    <cfRule type="expression" dxfId="22" priority="20">
      <formula>6&gt;TotalCols</formula>
    </cfRule>
  </conditionalFormatting>
  <conditionalFormatting sqref="I4:I33">
    <cfRule type="expression" dxfId="21" priority="21">
      <formula>7&gt;TotalCols</formula>
    </cfRule>
  </conditionalFormatting>
  <conditionalFormatting sqref="J4:J33">
    <cfRule type="expression" dxfId="20" priority="22">
      <formula>8&gt;TotalCols</formula>
    </cfRule>
  </conditionalFormatting>
  <conditionalFormatting sqref="K4:K33">
    <cfRule type="expression" dxfId="19" priority="23">
      <formula>9&gt;TotalCols</formula>
    </cfRule>
  </conditionalFormatting>
  <conditionalFormatting sqref="L4:L33">
    <cfRule type="expression" dxfId="18" priority="24">
      <formula>10&gt;TotalCols</formula>
    </cfRule>
  </conditionalFormatting>
  <conditionalFormatting sqref="M4:M33">
    <cfRule type="expression" dxfId="17" priority="25">
      <formula>11&gt;TotalCols</formula>
    </cfRule>
  </conditionalFormatting>
  <conditionalFormatting sqref="N4:N33">
    <cfRule type="expression" dxfId="16" priority="26">
      <formula>12&gt;TotalCols</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AD47"/>
  </sheetPr>
  <dimension ref="A1:P10"/>
  <sheetViews>
    <sheetView zoomScaleNormal="100" workbookViewId="0"/>
  </sheetViews>
  <sheetFormatPr defaultColWidth="8.68359375" defaultRowHeight="14.4" x14ac:dyDescent="0.55000000000000004"/>
  <cols>
    <col min="1" max="1" width="6" customWidth="1"/>
    <col min="2" max="2" width="50" customWidth="1"/>
    <col min="3" max="14" width="12" customWidth="1"/>
    <col min="15" max="15" width="16" customWidth="1"/>
    <col min="16" max="16" width="30" customWidth="1"/>
  </cols>
  <sheetData>
    <row r="1" spans="1:16" ht="24" customHeight="1" x14ac:dyDescent="0.55000000000000004">
      <c r="A1" s="294" t="str">
        <f>CONCATENATE("CROSS CHECKS  |  ", BorrowerName)</f>
        <v xml:space="preserve">CROSS CHECKS  |  </v>
      </c>
      <c r="B1" s="294"/>
      <c r="C1" s="294"/>
      <c r="D1" s="294"/>
      <c r="E1" s="294"/>
      <c r="F1" s="294"/>
      <c r="G1" s="294"/>
      <c r="H1" s="294"/>
      <c r="I1" s="294"/>
      <c r="J1" s="294"/>
      <c r="K1" s="294"/>
      <c r="L1" s="294"/>
      <c r="M1" s="294"/>
      <c r="N1" s="294"/>
      <c r="O1" s="294"/>
      <c r="P1" s="294"/>
    </row>
    <row r="2" spans="1:16" ht="15" customHeight="1" x14ac:dyDescent="0.55000000000000004">
      <c r="A2" s="295" t="s">
        <v>557</v>
      </c>
      <c r="B2" s="295"/>
      <c r="C2" s="295"/>
      <c r="D2" s="295"/>
      <c r="E2" s="295"/>
      <c r="F2" s="295"/>
      <c r="G2" s="295"/>
      <c r="H2" s="295"/>
      <c r="I2" s="295"/>
      <c r="J2" s="295"/>
      <c r="K2" s="295"/>
      <c r="L2" s="295"/>
      <c r="M2" s="295"/>
      <c r="N2" s="295"/>
      <c r="O2" s="295"/>
      <c r="P2" s="295"/>
    </row>
    <row r="3" spans="1:16" ht="30" customHeight="1" x14ac:dyDescent="0.55000000000000004">
      <c r="A3" s="79" t="s">
        <v>251</v>
      </c>
      <c r="B3" s="79" t="s">
        <v>558</v>
      </c>
      <c r="C3" s="80" t="s">
        <v>253</v>
      </c>
      <c r="D3" s="80" t="s">
        <v>254</v>
      </c>
      <c r="E3" s="80" t="s">
        <v>255</v>
      </c>
      <c r="F3" s="80" t="s">
        <v>256</v>
      </c>
      <c r="G3" s="80" t="s">
        <v>257</v>
      </c>
      <c r="H3" s="80" t="s">
        <v>258</v>
      </c>
      <c r="I3" s="80" t="s">
        <v>259</v>
      </c>
      <c r="J3" s="80" t="s">
        <v>260</v>
      </c>
      <c r="K3" s="80" t="s">
        <v>261</v>
      </c>
      <c r="L3" s="80" t="s">
        <v>262</v>
      </c>
      <c r="M3" s="80" t="s">
        <v>263</v>
      </c>
      <c r="N3" s="80" t="s">
        <v>264</v>
      </c>
      <c r="O3" s="81" t="s">
        <v>6</v>
      </c>
      <c r="P3" s="81" t="s">
        <v>559</v>
      </c>
    </row>
    <row r="4" spans="1:16" ht="15" customHeight="1" x14ac:dyDescent="0.55000000000000004">
      <c r="B4" s="82" t="s">
        <v>267</v>
      </c>
      <c r="C4" s="83" t="str">
        <f>INDEX('0_Setup'!$B$48:$B$59,1)</f>
        <v>2022-23</v>
      </c>
      <c r="D4" s="83" t="str">
        <f>INDEX('0_Setup'!$B$48:$B$59,2)</f>
        <v>2023-24</v>
      </c>
      <c r="E4" s="83" t="str">
        <f>INDEX('0_Setup'!$B$48:$B$59,3)</f>
        <v>2024-25</v>
      </c>
      <c r="F4" s="83" t="str">
        <f>INDEX('0_Setup'!$B$48:$B$59,4)</f>
        <v>2024-25</v>
      </c>
      <c r="G4" s="83" t="str">
        <f>INDEX('0_Setup'!$B$48:$B$59,5)</f>
        <v>2025-26</v>
      </c>
      <c r="H4" s="83" t="str">
        <f>INDEX('0_Setup'!$B$48:$B$59,6)</f>
        <v>2026-27</v>
      </c>
      <c r="I4" s="83" t="str">
        <f>INDEX('0_Setup'!$B$48:$B$59,7)</f>
        <v>2027-28</v>
      </c>
      <c r="J4" s="83" t="str">
        <f>INDEX('0_Setup'!$B$48:$B$59,8)</f>
        <v>2028-29</v>
      </c>
      <c r="K4" s="83" t="str">
        <f>INDEX('0_Setup'!$B$48:$B$59,9)</f>
        <v>2029-30</v>
      </c>
      <c r="L4" s="83" t="str">
        <f>INDEX('0_Setup'!$B$48:$B$59,10)</f>
        <v/>
      </c>
      <c r="M4" s="83" t="str">
        <f>INDEX('0_Setup'!$B$48:$B$59,11)</f>
        <v/>
      </c>
      <c r="N4" s="83" t="str">
        <f>INDEX('0_Setup'!$B$48:$B$59,12)</f>
        <v/>
      </c>
    </row>
    <row r="6" spans="1:16" ht="15" customHeight="1" x14ac:dyDescent="0.55000000000000004">
      <c r="A6" s="50">
        <v>1</v>
      </c>
      <c r="B6" s="57" t="s">
        <v>560</v>
      </c>
      <c r="C6" s="97">
        <f>'3_Balance_Sheet'!C53-'3_Balance_Sheet'!C108</f>
        <v>0</v>
      </c>
      <c r="D6" s="97">
        <f>'3_Balance_Sheet'!D53-'3_Balance_Sheet'!D108</f>
        <v>0</v>
      </c>
      <c r="E6" s="97">
        <f>'3_Balance_Sheet'!E53-'3_Balance_Sheet'!E108</f>
        <v>0</v>
      </c>
      <c r="F6" s="97">
        <f>'3_Balance_Sheet'!F53-'3_Balance_Sheet'!F108</f>
        <v>0</v>
      </c>
      <c r="G6" s="97">
        <f>'3_Balance_Sheet'!G53-'3_Balance_Sheet'!G108</f>
        <v>0</v>
      </c>
      <c r="H6" s="97">
        <f>'3_Balance_Sheet'!H53-'3_Balance_Sheet'!H108</f>
        <v>0</v>
      </c>
      <c r="I6" s="97">
        <f>'3_Balance_Sheet'!I53-'3_Balance_Sheet'!I108</f>
        <v>0</v>
      </c>
      <c r="J6" s="97">
        <f>'3_Balance_Sheet'!J53-'3_Balance_Sheet'!J108</f>
        <v>0</v>
      </c>
      <c r="K6" s="97">
        <f>'3_Balance_Sheet'!K53-'3_Balance_Sheet'!K108</f>
        <v>0</v>
      </c>
      <c r="L6" s="97">
        <f>'3_Balance_Sheet'!L53-'3_Balance_Sheet'!L108</f>
        <v>0</v>
      </c>
      <c r="M6" s="97">
        <f>'3_Balance_Sheet'!M53-'3_Balance_Sheet'!M108</f>
        <v>0</v>
      </c>
      <c r="N6" s="97">
        <f>'3_Balance_Sheet'!N53-'3_Balance_Sheet'!N108</f>
        <v>0</v>
      </c>
      <c r="O6" s="108" t="str">
        <f>IF(SUMPRODUCT(--(ABS(C6:N6)&gt;0.5))=0,"✓ All Match","⚠ Discrepancy")</f>
        <v>✓ All Match</v>
      </c>
      <c r="P6" s="109" t="s">
        <v>561</v>
      </c>
    </row>
    <row r="7" spans="1:16" ht="15" customHeight="1" x14ac:dyDescent="0.55000000000000004">
      <c r="A7" s="50">
        <v>2</v>
      </c>
      <c r="B7" s="57" t="s">
        <v>562</v>
      </c>
      <c r="C7" s="97">
        <f>'3_Balance_Sheet'!C82-('3_Balance_Sheet'!C58+'3_Balance_Sheet'!C63+'3_Balance_Sheet'!C73+'3_Balance_Sheet'!C74+'3_Balance_Sheet'!C75+'3_Balance_Sheet'!C81)</f>
        <v>0</v>
      </c>
      <c r="D7" s="97">
        <f>'3_Balance_Sheet'!D82-('3_Balance_Sheet'!D58+'3_Balance_Sheet'!D63+'3_Balance_Sheet'!D73+'3_Balance_Sheet'!D74+'3_Balance_Sheet'!D75+'3_Balance_Sheet'!D81)</f>
        <v>0</v>
      </c>
      <c r="E7" s="97">
        <f>'3_Balance_Sheet'!E82-('3_Balance_Sheet'!E58+'3_Balance_Sheet'!E63+'3_Balance_Sheet'!E73+'3_Balance_Sheet'!E74+'3_Balance_Sheet'!E75+'3_Balance_Sheet'!E81)</f>
        <v>0</v>
      </c>
      <c r="F7" s="97">
        <f>'3_Balance_Sheet'!F82-('3_Balance_Sheet'!F58+'3_Balance_Sheet'!F63+'3_Balance_Sheet'!F73+'3_Balance_Sheet'!F74+'3_Balance_Sheet'!F75+'3_Balance_Sheet'!F81)</f>
        <v>0</v>
      </c>
      <c r="G7" s="97">
        <f>'3_Balance_Sheet'!G82-('3_Balance_Sheet'!G58+'3_Balance_Sheet'!G63+'3_Balance_Sheet'!G73+'3_Balance_Sheet'!G74+'3_Balance_Sheet'!G75+'3_Balance_Sheet'!G81)</f>
        <v>0</v>
      </c>
      <c r="H7" s="97">
        <f>'3_Balance_Sheet'!H82-('3_Balance_Sheet'!H58+'3_Balance_Sheet'!H63+'3_Balance_Sheet'!H73+'3_Balance_Sheet'!H74+'3_Balance_Sheet'!H75+'3_Balance_Sheet'!H81)</f>
        <v>0</v>
      </c>
      <c r="I7" s="97">
        <f>'3_Balance_Sheet'!I82-('3_Balance_Sheet'!I58+'3_Balance_Sheet'!I63+'3_Balance_Sheet'!I73+'3_Balance_Sheet'!I74+'3_Balance_Sheet'!I75+'3_Balance_Sheet'!I81)</f>
        <v>0</v>
      </c>
      <c r="J7" s="97">
        <f>'3_Balance_Sheet'!J82-('3_Balance_Sheet'!J58+'3_Balance_Sheet'!J63+'3_Balance_Sheet'!J73+'3_Balance_Sheet'!J74+'3_Balance_Sheet'!J75+'3_Balance_Sheet'!J81)</f>
        <v>0</v>
      </c>
      <c r="K7" s="97">
        <f>'3_Balance_Sheet'!K82-('3_Balance_Sheet'!K58+'3_Balance_Sheet'!K63+'3_Balance_Sheet'!K73+'3_Balance_Sheet'!K74+'3_Balance_Sheet'!K75+'3_Balance_Sheet'!K81)</f>
        <v>0</v>
      </c>
      <c r="L7" s="97">
        <f>'3_Balance_Sheet'!L82-('3_Balance_Sheet'!L58+'3_Balance_Sheet'!L63+'3_Balance_Sheet'!L73+'3_Balance_Sheet'!L74+'3_Balance_Sheet'!L75+'3_Balance_Sheet'!L81)</f>
        <v>0</v>
      </c>
      <c r="M7" s="97">
        <f>'3_Balance_Sheet'!M82-('3_Balance_Sheet'!M58+'3_Balance_Sheet'!M63+'3_Balance_Sheet'!M73+'3_Balance_Sheet'!M74+'3_Balance_Sheet'!M75+'3_Balance_Sheet'!M81)</f>
        <v>0</v>
      </c>
      <c r="N7" s="97">
        <f>'3_Balance_Sheet'!N82-('3_Balance_Sheet'!N58+'3_Balance_Sheet'!N63+'3_Balance_Sheet'!N73+'3_Balance_Sheet'!N74+'3_Balance_Sheet'!N75+'3_Balance_Sheet'!N81)</f>
        <v>0</v>
      </c>
      <c r="O7" s="108" t="str">
        <f>IF(SUMPRODUCT(--(ABS(C7:N7)&gt;0.5))=0,"✓ All Match","⚠ Discrepancy")</f>
        <v>✓ All Match</v>
      </c>
      <c r="P7" s="109" t="s">
        <v>561</v>
      </c>
    </row>
    <row r="8" spans="1:16" ht="15" customHeight="1" x14ac:dyDescent="0.55000000000000004">
      <c r="A8" s="50">
        <v>3</v>
      </c>
      <c r="B8" s="57" t="s">
        <v>563</v>
      </c>
      <c r="C8" s="97">
        <f>'3_Balance_Sheet'!C27-('3_Balance_Sheet'!C11+'3_Balance_Sheet'!C26)</f>
        <v>0</v>
      </c>
      <c r="D8" s="97">
        <f>'3_Balance_Sheet'!D27-('3_Balance_Sheet'!D11+'3_Balance_Sheet'!D26)</f>
        <v>0</v>
      </c>
      <c r="E8" s="97">
        <f>'3_Balance_Sheet'!E27-('3_Balance_Sheet'!E11+'3_Balance_Sheet'!E26)</f>
        <v>0</v>
      </c>
      <c r="F8" s="97">
        <f>'3_Balance_Sheet'!F27-('3_Balance_Sheet'!F11+'3_Balance_Sheet'!F26)</f>
        <v>0</v>
      </c>
      <c r="G8" s="97">
        <f>'3_Balance_Sheet'!G27-('3_Balance_Sheet'!G11+'3_Balance_Sheet'!G26)</f>
        <v>0</v>
      </c>
      <c r="H8" s="97">
        <f>'3_Balance_Sheet'!H27-('3_Balance_Sheet'!H11+'3_Balance_Sheet'!H26)</f>
        <v>0</v>
      </c>
      <c r="I8" s="97">
        <f>'3_Balance_Sheet'!I27-('3_Balance_Sheet'!I11+'3_Balance_Sheet'!I26)</f>
        <v>0</v>
      </c>
      <c r="J8" s="97">
        <f>'3_Balance_Sheet'!J27-('3_Balance_Sheet'!J11+'3_Balance_Sheet'!J26)</f>
        <v>0</v>
      </c>
      <c r="K8" s="97">
        <f>'3_Balance_Sheet'!K27-('3_Balance_Sheet'!K11+'3_Balance_Sheet'!K26)</f>
        <v>0</v>
      </c>
      <c r="L8" s="97">
        <f>'3_Balance_Sheet'!L27-('3_Balance_Sheet'!L11+'3_Balance_Sheet'!L26)</f>
        <v>0</v>
      </c>
      <c r="M8" s="97">
        <f>'3_Balance_Sheet'!M27-('3_Balance_Sheet'!M11+'3_Balance_Sheet'!M26)</f>
        <v>0</v>
      </c>
      <c r="N8" s="97">
        <f>'3_Balance_Sheet'!N27-('3_Balance_Sheet'!N11+'3_Balance_Sheet'!N26)</f>
        <v>0</v>
      </c>
      <c r="O8" s="108" t="str">
        <f>IF(SUMPRODUCT(--(ABS(C8:N8)&gt;0.5))=0,"✓ All Match","⚠ Discrepancy")</f>
        <v>✓ All Match</v>
      </c>
      <c r="P8" s="109" t="s">
        <v>561</v>
      </c>
    </row>
    <row r="9" spans="1:16" ht="15" customHeight="1" x14ac:dyDescent="0.55000000000000004">
      <c r="A9" s="50">
        <v>4</v>
      </c>
      <c r="B9" s="57" t="s">
        <v>564</v>
      </c>
      <c r="C9" s="97">
        <f>'2_Operating_Statement'!C13-('2_Operating_Statement'!C10-'2_Operating_Statement'!C11-'2_Operating_Statement'!C12)</f>
        <v>0</v>
      </c>
      <c r="D9" s="97">
        <f>'2_Operating_Statement'!D13-('2_Operating_Statement'!D10-'2_Operating_Statement'!D11-'2_Operating_Statement'!D12)</f>
        <v>0</v>
      </c>
      <c r="E9" s="97">
        <f>'2_Operating_Statement'!E13-('2_Operating_Statement'!E10-'2_Operating_Statement'!E11-'2_Operating_Statement'!E12)</f>
        <v>0</v>
      </c>
      <c r="F9" s="97">
        <f>'2_Operating_Statement'!F13-('2_Operating_Statement'!F10-'2_Operating_Statement'!F11-'2_Operating_Statement'!F12)</f>
        <v>0</v>
      </c>
      <c r="G9" s="97">
        <f>'2_Operating_Statement'!G13-('2_Operating_Statement'!G10-'2_Operating_Statement'!G11-'2_Operating_Statement'!G12)</f>
        <v>0</v>
      </c>
      <c r="H9" s="97">
        <f>'2_Operating_Statement'!H13-('2_Operating_Statement'!H10-'2_Operating_Statement'!H11-'2_Operating_Statement'!H12)</f>
        <v>0</v>
      </c>
      <c r="I9" s="97">
        <f>'2_Operating_Statement'!I13-('2_Operating_Statement'!I10-'2_Operating_Statement'!I11-'2_Operating_Statement'!I12)</f>
        <v>0</v>
      </c>
      <c r="J9" s="97">
        <f>'2_Operating_Statement'!J13-('2_Operating_Statement'!J10-'2_Operating_Statement'!J11-'2_Operating_Statement'!J12)</f>
        <v>0</v>
      </c>
      <c r="K9" s="97">
        <f>'2_Operating_Statement'!K13-('2_Operating_Statement'!K10-'2_Operating_Statement'!K11-'2_Operating_Statement'!K12)</f>
        <v>0</v>
      </c>
      <c r="L9" s="97">
        <f>'2_Operating_Statement'!L13-('2_Operating_Statement'!L10-'2_Operating_Statement'!L11-'2_Operating_Statement'!L12)</f>
        <v>0</v>
      </c>
      <c r="M9" s="97">
        <f>'2_Operating_Statement'!M13-('2_Operating_Statement'!M10-'2_Operating_Statement'!M11-'2_Operating_Statement'!M12)</f>
        <v>0</v>
      </c>
      <c r="N9" s="97">
        <f>'2_Operating_Statement'!N13-('2_Operating_Statement'!N10-'2_Operating_Statement'!N11-'2_Operating_Statement'!N12)</f>
        <v>0</v>
      </c>
      <c r="O9" s="108" t="str">
        <f>IF(SUMPRODUCT(--(ABS(C9:N9)&gt;0.5))=0,"✓ All Match","⚠ Discrepancy")</f>
        <v>✓ All Match</v>
      </c>
      <c r="P9" s="109" t="s">
        <v>561</v>
      </c>
    </row>
    <row r="10" spans="1:16" ht="15" customHeight="1" x14ac:dyDescent="0.55000000000000004">
      <c r="A10" s="50">
        <v>5</v>
      </c>
      <c r="B10" s="57" t="s">
        <v>565</v>
      </c>
      <c r="C10" s="97">
        <f>'2_Operating_Statement'!C58-('2_Operating_Statement'!C54-'2_Operating_Statement'!C56-'2_Operating_Statement'!C57+'2_Operating_Statement'!C55)</f>
        <v>0</v>
      </c>
      <c r="D10" s="97">
        <f>'2_Operating_Statement'!D58-('2_Operating_Statement'!D54-'2_Operating_Statement'!D56-'2_Operating_Statement'!D57+'2_Operating_Statement'!D55)</f>
        <v>0</v>
      </c>
      <c r="E10" s="97">
        <f>'2_Operating_Statement'!E58-('2_Operating_Statement'!E54-'2_Operating_Statement'!E56-'2_Operating_Statement'!E57+'2_Operating_Statement'!E55)</f>
        <v>0</v>
      </c>
      <c r="F10" s="97">
        <f>'2_Operating_Statement'!F58-('2_Operating_Statement'!F54-'2_Operating_Statement'!F56-'2_Operating_Statement'!F57+'2_Operating_Statement'!F55)</f>
        <v>0</v>
      </c>
      <c r="G10" s="97">
        <f>'2_Operating_Statement'!G58-('2_Operating_Statement'!G54-'2_Operating_Statement'!G56-'2_Operating_Statement'!G57+'2_Operating_Statement'!G55)</f>
        <v>0</v>
      </c>
      <c r="H10" s="97">
        <f>'2_Operating_Statement'!H58-('2_Operating_Statement'!H54-'2_Operating_Statement'!H56-'2_Operating_Statement'!H57+'2_Operating_Statement'!H55)</f>
        <v>0</v>
      </c>
      <c r="I10" s="97">
        <f>'2_Operating_Statement'!I58-('2_Operating_Statement'!I54-'2_Operating_Statement'!I56-'2_Operating_Statement'!I57+'2_Operating_Statement'!I55)</f>
        <v>0</v>
      </c>
      <c r="J10" s="97">
        <f>'2_Operating_Statement'!J58-('2_Operating_Statement'!J54-'2_Operating_Statement'!J56-'2_Operating_Statement'!J57+'2_Operating_Statement'!J55)</f>
        <v>0</v>
      </c>
      <c r="K10" s="97">
        <f>'2_Operating_Statement'!K58-('2_Operating_Statement'!K54-'2_Operating_Statement'!K56-'2_Operating_Statement'!K57+'2_Operating_Statement'!K55)</f>
        <v>0</v>
      </c>
      <c r="L10" s="97">
        <f>'2_Operating_Statement'!L58-('2_Operating_Statement'!L54-'2_Operating_Statement'!L56-'2_Operating_Statement'!L57+'2_Operating_Statement'!L55)</f>
        <v>0</v>
      </c>
      <c r="M10" s="97">
        <f>'2_Operating_Statement'!M58-('2_Operating_Statement'!M54-'2_Operating_Statement'!M56-'2_Operating_Statement'!M57+'2_Operating_Statement'!M55)</f>
        <v>0</v>
      </c>
      <c r="N10" s="97">
        <f>'2_Operating_Statement'!N58-('2_Operating_Statement'!N54-'2_Operating_Statement'!N56-'2_Operating_Statement'!N57+'2_Operating_Statement'!N55)</f>
        <v>0</v>
      </c>
      <c r="O10" s="108" t="str">
        <f>IF(SUMPRODUCT(--(ABS(C10:N10)&gt;0.5))=0,"✓ All Match","⚠ Discrepancy")</f>
        <v>✓ All Match</v>
      </c>
      <c r="P10" s="109" t="s">
        <v>561</v>
      </c>
    </row>
  </sheetData>
  <mergeCells count="2">
    <mergeCell ref="A1:P1"/>
    <mergeCell ref="A2:P2"/>
  </mergeCells>
  <conditionalFormatting sqref="C3:C10">
    <cfRule type="expression" dxfId="15" priority="12">
      <formula>1&gt;TotalCols</formula>
    </cfRule>
  </conditionalFormatting>
  <conditionalFormatting sqref="C6:N10">
    <cfRule type="expression" dxfId="14" priority="2">
      <formula>ABS(C6)&gt;0.5</formula>
    </cfRule>
    <cfRule type="expression" dxfId="13" priority="3">
      <formula>ABS(C6)&lt;=0.5</formula>
    </cfRule>
  </conditionalFormatting>
  <conditionalFormatting sqref="D3:D10">
    <cfRule type="expression" dxfId="12" priority="13">
      <formula>2&gt;TotalCols</formula>
    </cfRule>
  </conditionalFormatting>
  <conditionalFormatting sqref="E3:E10">
    <cfRule type="expression" dxfId="11" priority="14">
      <formula>3&gt;TotalCols</formula>
    </cfRule>
  </conditionalFormatting>
  <conditionalFormatting sqref="F3:F10">
    <cfRule type="expression" dxfId="10" priority="15">
      <formula>4&gt;TotalCols</formula>
    </cfRule>
  </conditionalFormatting>
  <conditionalFormatting sqref="G3:G10">
    <cfRule type="expression" dxfId="9" priority="16">
      <formula>5&gt;TotalCols</formula>
    </cfRule>
  </conditionalFormatting>
  <conditionalFormatting sqref="H3:H10">
    <cfRule type="expression" dxfId="8" priority="17">
      <formula>6&gt;TotalCols</formula>
    </cfRule>
  </conditionalFormatting>
  <conditionalFormatting sqref="I3:I10">
    <cfRule type="expression" dxfId="7" priority="18">
      <formula>7&gt;TotalCols</formula>
    </cfRule>
  </conditionalFormatting>
  <conditionalFormatting sqref="J3:J10">
    <cfRule type="expression" dxfId="6" priority="19">
      <formula>8&gt;TotalCols</formula>
    </cfRule>
  </conditionalFormatting>
  <conditionalFormatting sqref="K3:K10">
    <cfRule type="expression" dxfId="5" priority="20">
      <formula>9&gt;TotalCols</formula>
    </cfRule>
  </conditionalFormatting>
  <conditionalFormatting sqref="L3:L10">
    <cfRule type="expression" dxfId="4" priority="21">
      <formula>10&gt;TotalCols</formula>
    </cfRule>
  </conditionalFormatting>
  <conditionalFormatting sqref="M3:M10">
    <cfRule type="expression" dxfId="3" priority="22">
      <formula>11&gt;TotalCols</formula>
    </cfRule>
  </conditionalFormatting>
  <conditionalFormatting sqref="N3:N10">
    <cfRule type="expression" dxfId="2" priority="23">
      <formula>12&gt;TotalCols</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H40"/>
  <sheetViews>
    <sheetView zoomScaleNormal="100" workbookViewId="0"/>
  </sheetViews>
  <sheetFormatPr defaultColWidth="8.68359375" defaultRowHeight="14.4" x14ac:dyDescent="0.55000000000000004"/>
  <cols>
    <col min="1" max="1" width="5" customWidth="1"/>
    <col min="2" max="2" width="24" customWidth="1"/>
    <col min="3" max="3" width="28" customWidth="1"/>
    <col min="4" max="5" width="18" customWidth="1"/>
    <col min="6" max="6" width="16" customWidth="1"/>
    <col min="7" max="7" width="22" customWidth="1"/>
    <col min="8" max="8" width="30" customWidth="1"/>
  </cols>
  <sheetData>
    <row r="1" spans="1:8" ht="24" customHeight="1" x14ac:dyDescent="0.55000000000000004">
      <c r="A1" s="294" t="str">
        <f>CONCATENATE("CREDIT LIMITS  |  ", BorrowerName)</f>
        <v xml:space="preserve">CREDIT LIMITS  |  </v>
      </c>
      <c r="B1" s="294"/>
      <c r="C1" s="294"/>
      <c r="D1" s="294"/>
      <c r="E1" s="294"/>
      <c r="F1" s="294"/>
      <c r="G1" s="294"/>
      <c r="H1" s="294"/>
    </row>
    <row r="2" spans="1:8" ht="15" customHeight="1" x14ac:dyDescent="0.55000000000000004">
      <c r="A2" s="295" t="s">
        <v>566</v>
      </c>
      <c r="B2" s="295"/>
      <c r="C2" s="295"/>
      <c r="D2" s="295"/>
      <c r="E2" s="295"/>
      <c r="F2" s="295"/>
      <c r="G2" s="295"/>
      <c r="H2" s="295"/>
    </row>
    <row r="4" spans="1:8" ht="30" customHeight="1" x14ac:dyDescent="0.55000000000000004">
      <c r="A4" s="110" t="s">
        <v>251</v>
      </c>
      <c r="B4" s="110" t="s">
        <v>567</v>
      </c>
      <c r="C4" s="110" t="s">
        <v>568</v>
      </c>
      <c r="D4" s="110" t="s">
        <v>135</v>
      </c>
      <c r="E4" s="110" t="s">
        <v>136</v>
      </c>
      <c r="F4" s="110" t="s">
        <v>569</v>
      </c>
      <c r="G4" s="110" t="s">
        <v>570</v>
      </c>
      <c r="H4" s="110" t="s">
        <v>137</v>
      </c>
    </row>
    <row r="6" spans="1:8" ht="19.5" customHeight="1" x14ac:dyDescent="0.55000000000000004">
      <c r="A6" s="310" t="s">
        <v>571</v>
      </c>
      <c r="B6" s="310"/>
      <c r="C6" s="310"/>
      <c r="D6" s="310"/>
      <c r="E6" s="310"/>
      <c r="F6" s="310"/>
      <c r="G6" s="310"/>
      <c r="H6" s="310"/>
    </row>
    <row r="7" spans="1:8" ht="15" customHeight="1" x14ac:dyDescent="0.55000000000000004">
      <c r="A7" s="111">
        <v>1</v>
      </c>
      <c r="B7" s="54" t="s">
        <v>138</v>
      </c>
      <c r="C7" s="54" t="s">
        <v>572</v>
      </c>
      <c r="D7" s="55"/>
      <c r="E7" s="55"/>
      <c r="F7" s="54" t="s">
        <v>573</v>
      </c>
      <c r="G7" s="51"/>
      <c r="H7" s="51"/>
    </row>
    <row r="8" spans="1:8" ht="15" customHeight="1" x14ac:dyDescent="0.55000000000000004">
      <c r="A8" s="111">
        <v>2</v>
      </c>
      <c r="B8" s="54" t="s">
        <v>138</v>
      </c>
      <c r="C8" s="54" t="s">
        <v>574</v>
      </c>
      <c r="D8" s="55"/>
      <c r="E8" s="55"/>
      <c r="F8" s="54" t="s">
        <v>573</v>
      </c>
      <c r="G8" s="51"/>
      <c r="H8" s="51"/>
    </row>
    <row r="9" spans="1:8" ht="15" customHeight="1" x14ac:dyDescent="0.55000000000000004">
      <c r="A9" s="111">
        <v>3</v>
      </c>
      <c r="B9" s="54" t="s">
        <v>138</v>
      </c>
      <c r="C9" s="54" t="s">
        <v>575</v>
      </c>
      <c r="D9" s="55"/>
      <c r="E9" s="55"/>
      <c r="F9" s="54" t="s">
        <v>576</v>
      </c>
      <c r="G9" s="51"/>
      <c r="H9" s="51"/>
    </row>
    <row r="10" spans="1:8" ht="15" customHeight="1" x14ac:dyDescent="0.55000000000000004">
      <c r="A10" s="111">
        <v>4</v>
      </c>
      <c r="B10" s="54" t="s">
        <v>138</v>
      </c>
      <c r="C10" s="54" t="s">
        <v>577</v>
      </c>
      <c r="D10" s="55"/>
      <c r="E10" s="55"/>
      <c r="F10" s="54" t="s">
        <v>578</v>
      </c>
      <c r="G10" s="51"/>
      <c r="H10" s="51"/>
    </row>
    <row r="11" spans="1:8" ht="15" customHeight="1" x14ac:dyDescent="0.55000000000000004">
      <c r="A11" s="112"/>
      <c r="B11" s="113" t="s">
        <v>579</v>
      </c>
      <c r="C11" s="112"/>
      <c r="D11" s="114">
        <f>SUM(D7:D10)</f>
        <v>0</v>
      </c>
      <c r="E11" s="114">
        <f>SUM(E7:E10)</f>
        <v>0</v>
      </c>
      <c r="F11" s="112"/>
      <c r="G11" s="112"/>
      <c r="H11" s="112"/>
    </row>
    <row r="13" spans="1:8" ht="19.5" customHeight="1" x14ac:dyDescent="0.55000000000000004">
      <c r="A13" s="310" t="s">
        <v>580</v>
      </c>
      <c r="B13" s="310"/>
      <c r="C13" s="310"/>
      <c r="D13" s="310"/>
      <c r="E13" s="310"/>
      <c r="F13" s="310"/>
      <c r="G13" s="310"/>
      <c r="H13" s="310"/>
    </row>
    <row r="14" spans="1:8" ht="15" customHeight="1" x14ac:dyDescent="0.55000000000000004">
      <c r="A14" s="111">
        <v>1</v>
      </c>
      <c r="B14" s="54" t="s">
        <v>581</v>
      </c>
      <c r="C14" s="54" t="s">
        <v>582</v>
      </c>
      <c r="D14" s="55"/>
      <c r="E14" s="55"/>
      <c r="F14" s="51"/>
      <c r="G14" s="51"/>
      <c r="H14" s="51"/>
    </row>
    <row r="15" spans="1:8" ht="15" customHeight="1" x14ac:dyDescent="0.55000000000000004">
      <c r="A15" s="111">
        <v>2</v>
      </c>
      <c r="B15" s="54" t="s">
        <v>581</v>
      </c>
      <c r="C15" s="54" t="s">
        <v>583</v>
      </c>
      <c r="D15" s="55"/>
      <c r="E15" s="55"/>
      <c r="F15" s="51"/>
      <c r="G15" s="51"/>
      <c r="H15" s="51"/>
    </row>
    <row r="16" spans="1:8" ht="15" customHeight="1" x14ac:dyDescent="0.55000000000000004">
      <c r="A16" s="111">
        <v>3</v>
      </c>
      <c r="B16" s="54" t="s">
        <v>581</v>
      </c>
      <c r="C16" s="54" t="s">
        <v>584</v>
      </c>
      <c r="D16" s="55"/>
      <c r="E16" s="55"/>
      <c r="F16" s="51"/>
      <c r="G16" s="51"/>
      <c r="H16" s="51"/>
    </row>
    <row r="17" spans="1:8" ht="15" customHeight="1" x14ac:dyDescent="0.55000000000000004">
      <c r="A17" s="111">
        <v>4</v>
      </c>
      <c r="B17" s="54" t="s">
        <v>581</v>
      </c>
      <c r="C17" s="54" t="s">
        <v>585</v>
      </c>
      <c r="D17" s="55"/>
      <c r="E17" s="55"/>
      <c r="F17" s="51"/>
      <c r="G17" s="51"/>
      <c r="H17" s="51"/>
    </row>
    <row r="18" spans="1:8" ht="15" customHeight="1" x14ac:dyDescent="0.55000000000000004">
      <c r="A18" s="112"/>
      <c r="B18" s="113" t="s">
        <v>586</v>
      </c>
      <c r="C18" s="112"/>
      <c r="D18" s="114">
        <f>SUM(D14:D17)</f>
        <v>0</v>
      </c>
      <c r="E18" s="114">
        <f>SUM(E14:E17)</f>
        <v>0</v>
      </c>
      <c r="F18" s="112"/>
      <c r="G18" s="112"/>
      <c r="H18" s="112"/>
    </row>
    <row r="20" spans="1:8" ht="19.5" customHeight="1" x14ac:dyDescent="0.55000000000000004">
      <c r="A20" s="310" t="s">
        <v>587</v>
      </c>
      <c r="B20" s="310"/>
      <c r="C20" s="310"/>
      <c r="D20" s="310"/>
      <c r="E20" s="310"/>
      <c r="F20" s="310"/>
      <c r="G20" s="310"/>
      <c r="H20" s="310"/>
    </row>
    <row r="21" spans="1:8" ht="15" customHeight="1" x14ac:dyDescent="0.55000000000000004">
      <c r="A21" s="111">
        <v>1</v>
      </c>
      <c r="B21" s="54" t="s">
        <v>588</v>
      </c>
      <c r="C21" s="54" t="s">
        <v>589</v>
      </c>
      <c r="D21" s="55"/>
      <c r="E21" s="55"/>
      <c r="F21" s="54" t="s">
        <v>590</v>
      </c>
      <c r="G21" s="51"/>
      <c r="H21" s="51"/>
    </row>
    <row r="22" spans="1:8" ht="15" customHeight="1" x14ac:dyDescent="0.55000000000000004">
      <c r="A22" s="111">
        <v>2</v>
      </c>
      <c r="B22" s="54" t="s">
        <v>588</v>
      </c>
      <c r="C22" s="54" t="s">
        <v>591</v>
      </c>
      <c r="D22" s="55"/>
      <c r="E22" s="55"/>
      <c r="F22" s="54" t="s">
        <v>590</v>
      </c>
      <c r="G22" s="51"/>
      <c r="H22" s="51"/>
    </row>
    <row r="23" spans="1:8" ht="15" customHeight="1" x14ac:dyDescent="0.55000000000000004">
      <c r="A23" s="111">
        <v>3</v>
      </c>
      <c r="B23" s="54" t="s">
        <v>588</v>
      </c>
      <c r="C23" s="54" t="s">
        <v>592</v>
      </c>
      <c r="D23" s="55"/>
      <c r="E23" s="55"/>
      <c r="F23" s="54" t="s">
        <v>593</v>
      </c>
      <c r="G23" s="51"/>
      <c r="H23" s="51"/>
    </row>
    <row r="24" spans="1:8" ht="15" customHeight="1" x14ac:dyDescent="0.55000000000000004">
      <c r="A24" s="111">
        <v>4</v>
      </c>
      <c r="B24" s="54" t="s">
        <v>588</v>
      </c>
      <c r="C24" s="54" t="s">
        <v>594</v>
      </c>
      <c r="D24" s="55"/>
      <c r="E24" s="55"/>
      <c r="F24" s="54" t="s">
        <v>595</v>
      </c>
      <c r="G24" s="51"/>
      <c r="H24" s="51"/>
    </row>
    <row r="25" spans="1:8" ht="15" customHeight="1" x14ac:dyDescent="0.55000000000000004">
      <c r="A25" s="112"/>
      <c r="B25" s="113" t="s">
        <v>596</v>
      </c>
      <c r="C25" s="112"/>
      <c r="D25" s="114">
        <f>SUM(D21:D24)</f>
        <v>0</v>
      </c>
      <c r="E25" s="114">
        <f>SUM(E21:E24)</f>
        <v>0</v>
      </c>
      <c r="F25" s="112"/>
      <c r="G25" s="112"/>
      <c r="H25" s="112"/>
    </row>
    <row r="27" spans="1:8" ht="15" customHeight="1" x14ac:dyDescent="0.55000000000000004">
      <c r="A27" s="115"/>
      <c r="B27" s="116" t="s">
        <v>597</v>
      </c>
      <c r="C27" s="115"/>
      <c r="D27" s="117">
        <f>D11+D18+D25</f>
        <v>0</v>
      </c>
      <c r="E27" s="117">
        <f>E11+E18+E25</f>
        <v>0</v>
      </c>
      <c r="F27" s="115"/>
      <c r="G27" s="115"/>
      <c r="H27" s="115"/>
    </row>
    <row r="29" spans="1:8" ht="15" customHeight="1" x14ac:dyDescent="0.55000000000000004">
      <c r="A29" s="49" t="s">
        <v>598</v>
      </c>
      <c r="B29" s="312" t="str">
        <f>IF(AND(D11=ExistingFB_WC,D18=ExistingFB_TL,D25=ExistingNFB),"✓ Limits tally with Setup totals","⚠ Limits don't tally with Setup — recheck either Setup or sub-facility lines")</f>
        <v>✓ Limits tally with Setup totals</v>
      </c>
      <c r="C29" s="312"/>
      <c r="D29" s="312"/>
      <c r="E29" s="312"/>
      <c r="F29" s="312"/>
      <c r="G29" s="312"/>
      <c r="H29" s="312"/>
    </row>
    <row r="30" spans="1:8" ht="21.75" customHeight="1" x14ac:dyDescent="0.55000000000000004">
      <c r="A30" s="313" t="s">
        <v>599</v>
      </c>
      <c r="B30" s="313"/>
      <c r="C30" s="313"/>
      <c r="D30" s="313"/>
      <c r="E30" s="313"/>
      <c r="F30" s="313"/>
      <c r="G30" s="313"/>
      <c r="H30" s="313"/>
    </row>
    <row r="31" spans="1:8" ht="27.75" customHeight="1" x14ac:dyDescent="0.55000000000000004">
      <c r="A31" s="314" t="s">
        <v>600</v>
      </c>
      <c r="B31" s="314"/>
      <c r="C31" s="314"/>
      <c r="D31" s="314"/>
      <c r="E31" s="314"/>
      <c r="F31" s="314"/>
      <c r="G31" s="314"/>
      <c r="H31" s="314"/>
    </row>
    <row r="32" spans="1:8" ht="6" customHeight="1" x14ac:dyDescent="0.55000000000000004"/>
    <row r="33" spans="2:8" ht="18" customHeight="1" x14ac:dyDescent="0.55000000000000004">
      <c r="B33" s="18" t="s">
        <v>601</v>
      </c>
      <c r="D33" s="17" t="s">
        <v>602</v>
      </c>
      <c r="E33" s="17" t="s">
        <v>603</v>
      </c>
      <c r="F33" s="18" t="s">
        <v>181</v>
      </c>
    </row>
    <row r="34" spans="2:8" ht="19.5" customHeight="1" x14ac:dyDescent="0.55000000000000004">
      <c r="B34" s="19" t="s">
        <v>604</v>
      </c>
      <c r="D34" s="74">
        <v>0</v>
      </c>
      <c r="E34" s="74">
        <v>0</v>
      </c>
      <c r="F34" s="119" t="s">
        <v>605</v>
      </c>
    </row>
    <row r="35" spans="2:8" ht="19.5" customHeight="1" x14ac:dyDescent="0.55000000000000004">
      <c r="B35" s="38" t="s">
        <v>606</v>
      </c>
      <c r="D35" s="120">
        <f>D26</f>
        <v>0</v>
      </c>
      <c r="E35" s="120">
        <f>E26</f>
        <v>0</v>
      </c>
      <c r="F35" s="119" t="s">
        <v>607</v>
      </c>
    </row>
    <row r="36" spans="2:8" ht="19.5" customHeight="1" x14ac:dyDescent="0.55000000000000004">
      <c r="B36" s="38" t="s">
        <v>608</v>
      </c>
      <c r="D36" s="121">
        <f>D34+D35</f>
        <v>0</v>
      </c>
      <c r="E36" s="121">
        <f>E34+E35</f>
        <v>0</v>
      </c>
      <c r="F36" s="119" t="s">
        <v>609</v>
      </c>
    </row>
    <row r="37" spans="2:8" ht="19.5" customHeight="1" x14ac:dyDescent="0.55000000000000004">
      <c r="B37" s="38" t="s">
        <v>610</v>
      </c>
      <c r="D37" s="122">
        <f>IFERROR(D35/D36,0)</f>
        <v>0</v>
      </c>
      <c r="E37" s="122">
        <f>IFERROR(E35/E36,0)</f>
        <v>0</v>
      </c>
      <c r="F37" s="119" t="s">
        <v>611</v>
      </c>
    </row>
    <row r="38" spans="2:8" ht="6" customHeight="1" x14ac:dyDescent="0.55000000000000004"/>
    <row r="39" spans="2:8" ht="21.75" customHeight="1" x14ac:dyDescent="0.55000000000000004">
      <c r="B39" s="308" t="s">
        <v>612</v>
      </c>
      <c r="C39" s="308"/>
      <c r="D39" s="17" t="s">
        <v>613</v>
      </c>
      <c r="E39" s="17" t="s">
        <v>614</v>
      </c>
      <c r="F39" s="18" t="s">
        <v>615</v>
      </c>
    </row>
    <row r="40" spans="2:8" ht="49.5" customHeight="1" x14ac:dyDescent="0.55000000000000004">
      <c r="B40" s="315" t="s">
        <v>616</v>
      </c>
      <c r="C40" s="315"/>
      <c r="D40" s="123" t="str">
        <f>IF(D37&lt;10,"🟢 NO RESTRICTION",IF(D39&gt;=0.1,"🟢 COMPLIANT","🔴 RESTRICTED"))</f>
        <v>🟢 NO RESTRICTION</v>
      </c>
      <c r="E40" s="123" t="str">
        <f>IF(E37&lt;10,"🟢 NO RESTRICTION",IF(E39&gt;=0.1,"🟢 COMPLIANT","🔴 RESTRICTED"))</f>
        <v>🟢 NO RESTRICTION</v>
      </c>
      <c r="F40" s="316" t="str">
        <f>IF(E37&lt;10,"Aggregate exposure &lt; ₹10 Cr — bank may operate Current/OD accounts freely.",IF(E39&gt;=0.1,"Bank share ≥10% of aggregate. Authorised to operate full standard Current/OD accounts.","Bank share &lt;10% of aggregate. Only restricted Collection Accounts permitted. Mandatory escrow + T+2 sweep to compliant primary bank. Outward business debits prohibited."))</f>
        <v>Aggregate exposure &lt; ₹10 Cr — bank may operate Current/OD accounts freely.</v>
      </c>
      <c r="G40" s="316"/>
      <c r="H40" s="316"/>
    </row>
  </sheetData>
  <mergeCells count="11">
    <mergeCell ref="B29:H29"/>
    <mergeCell ref="A30:H30"/>
    <mergeCell ref="A31:H31"/>
    <mergeCell ref="B39:C39"/>
    <mergeCell ref="B40:C40"/>
    <mergeCell ref="F40:H40"/>
    <mergeCell ref="A1:H1"/>
    <mergeCell ref="A2:H2"/>
    <mergeCell ref="A6:H6"/>
    <mergeCell ref="A13:H13"/>
    <mergeCell ref="A20:H20"/>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F26"/>
  <sheetViews>
    <sheetView zoomScaleNormal="100" workbookViewId="0"/>
  </sheetViews>
  <sheetFormatPr defaultColWidth="8.68359375" defaultRowHeight="14.4" x14ac:dyDescent="0.55000000000000004"/>
  <cols>
    <col min="1" max="1" width="5" customWidth="1"/>
    <col min="2" max="2" width="40" customWidth="1"/>
    <col min="3" max="3" width="25" customWidth="1"/>
    <col min="4" max="4" width="18" customWidth="1"/>
    <col min="5" max="5" width="28" customWidth="1"/>
    <col min="6" max="6" width="30" customWidth="1"/>
  </cols>
  <sheetData>
    <row r="1" spans="1:6" ht="24" customHeight="1" x14ac:dyDescent="0.55000000000000004">
      <c r="A1" s="294" t="str">
        <f>CONCATENATE("SECURITY  |  ", BorrowerName)</f>
        <v xml:space="preserve">SECURITY  |  </v>
      </c>
      <c r="B1" s="294"/>
      <c r="C1" s="294"/>
      <c r="D1" s="294"/>
      <c r="E1" s="294"/>
      <c r="F1" s="294"/>
    </row>
    <row r="2" spans="1:6" ht="15" customHeight="1" x14ac:dyDescent="0.55000000000000004">
      <c r="A2" s="295" t="s">
        <v>617</v>
      </c>
      <c r="B2" s="295"/>
      <c r="C2" s="295"/>
      <c r="D2" s="295"/>
      <c r="E2" s="295"/>
      <c r="F2" s="295"/>
    </row>
    <row r="4" spans="1:6" ht="30" customHeight="1" x14ac:dyDescent="0.55000000000000004">
      <c r="A4" s="81" t="s">
        <v>251</v>
      </c>
      <c r="B4" s="81" t="s">
        <v>618</v>
      </c>
      <c r="C4" s="81" t="s">
        <v>619</v>
      </c>
      <c r="D4" s="81" t="s">
        <v>620</v>
      </c>
      <c r="E4" s="81" t="s">
        <v>621</v>
      </c>
      <c r="F4" s="81" t="s">
        <v>137</v>
      </c>
    </row>
    <row r="6" spans="1:6" ht="19.5" customHeight="1" x14ac:dyDescent="0.55000000000000004">
      <c r="A6" s="310" t="s">
        <v>622</v>
      </c>
      <c r="B6" s="310"/>
      <c r="C6" s="310"/>
      <c r="D6" s="310"/>
      <c r="E6" s="310"/>
      <c r="F6" s="310"/>
    </row>
    <row r="7" spans="1:6" ht="15" customHeight="1" x14ac:dyDescent="0.55000000000000004">
      <c r="A7" s="111">
        <v>1</v>
      </c>
      <c r="B7" s="51" t="s">
        <v>623</v>
      </c>
      <c r="C7" s="54" t="s">
        <v>624</v>
      </c>
      <c r="D7" s="55"/>
      <c r="E7" s="51"/>
      <c r="F7" s="51"/>
    </row>
    <row r="8" spans="1:6" ht="15" customHeight="1" x14ac:dyDescent="0.55000000000000004">
      <c r="A8" s="111">
        <v>2</v>
      </c>
      <c r="B8" s="51" t="s">
        <v>625</v>
      </c>
      <c r="C8" s="54" t="s">
        <v>624</v>
      </c>
      <c r="D8" s="55"/>
      <c r="E8" s="51"/>
      <c r="F8" s="51"/>
    </row>
    <row r="9" spans="1:6" ht="15" customHeight="1" x14ac:dyDescent="0.55000000000000004">
      <c r="A9" s="111">
        <v>3</v>
      </c>
      <c r="B9" s="51" t="s">
        <v>626</v>
      </c>
      <c r="C9" s="54" t="s">
        <v>624</v>
      </c>
      <c r="D9" s="55"/>
      <c r="E9" s="51"/>
      <c r="F9" s="51"/>
    </row>
    <row r="10" spans="1:6" ht="15" customHeight="1" x14ac:dyDescent="0.55000000000000004">
      <c r="A10" s="111">
        <v>4</v>
      </c>
      <c r="B10" s="51" t="s">
        <v>627</v>
      </c>
      <c r="C10" s="54" t="s">
        <v>624</v>
      </c>
      <c r="D10" s="55"/>
      <c r="E10" s="51"/>
      <c r="F10" s="51"/>
    </row>
    <row r="11" spans="1:6" ht="15" customHeight="1" x14ac:dyDescent="0.55000000000000004">
      <c r="A11" s="111">
        <v>5</v>
      </c>
      <c r="B11" s="51" t="s">
        <v>628</v>
      </c>
      <c r="C11" s="54" t="s">
        <v>624</v>
      </c>
      <c r="D11" s="55"/>
      <c r="E11" s="51"/>
      <c r="F11" s="51"/>
    </row>
    <row r="12" spans="1:6" ht="15" customHeight="1" x14ac:dyDescent="0.55000000000000004">
      <c r="A12" s="112"/>
      <c r="B12" s="113" t="s">
        <v>629</v>
      </c>
      <c r="C12" s="112"/>
      <c r="D12" s="114">
        <f>SUM(D7:D11)</f>
        <v>0</v>
      </c>
      <c r="E12" s="112"/>
      <c r="F12" s="112"/>
    </row>
    <row r="14" spans="1:6" ht="19.5" customHeight="1" x14ac:dyDescent="0.55000000000000004">
      <c r="A14" s="310" t="s">
        <v>630</v>
      </c>
      <c r="B14" s="310"/>
      <c r="C14" s="310"/>
      <c r="D14" s="310"/>
      <c r="E14" s="310"/>
      <c r="F14" s="310"/>
    </row>
    <row r="15" spans="1:6" ht="15" customHeight="1" x14ac:dyDescent="0.55000000000000004">
      <c r="A15" s="111">
        <v>1</v>
      </c>
      <c r="B15" s="51" t="s">
        <v>631</v>
      </c>
      <c r="C15" s="54" t="s">
        <v>632</v>
      </c>
      <c r="D15" s="55"/>
      <c r="E15" s="51"/>
      <c r="F15" s="51"/>
    </row>
    <row r="16" spans="1:6" ht="15" customHeight="1" x14ac:dyDescent="0.55000000000000004">
      <c r="A16" s="111">
        <v>2</v>
      </c>
      <c r="B16" s="51" t="s">
        <v>633</v>
      </c>
      <c r="C16" s="54" t="s">
        <v>632</v>
      </c>
      <c r="D16" s="55"/>
      <c r="E16" s="51"/>
      <c r="F16" s="51"/>
    </row>
    <row r="17" spans="1:6" ht="15" customHeight="1" x14ac:dyDescent="0.55000000000000004">
      <c r="A17" s="111">
        <v>3</v>
      </c>
      <c r="B17" s="51" t="s">
        <v>634</v>
      </c>
      <c r="C17" s="54" t="s">
        <v>632</v>
      </c>
      <c r="D17" s="55"/>
      <c r="E17" s="51"/>
      <c r="F17" s="51"/>
    </row>
    <row r="18" spans="1:6" ht="15" customHeight="1" x14ac:dyDescent="0.55000000000000004">
      <c r="A18" s="111">
        <v>4</v>
      </c>
      <c r="B18" s="51" t="s">
        <v>635</v>
      </c>
      <c r="C18" s="54" t="s">
        <v>632</v>
      </c>
      <c r="D18" s="55"/>
      <c r="E18" s="51"/>
      <c r="F18" s="51"/>
    </row>
    <row r="19" spans="1:6" ht="15" customHeight="1" x14ac:dyDescent="0.55000000000000004">
      <c r="A19" s="111">
        <v>5</v>
      </c>
      <c r="B19" s="51" t="s">
        <v>636</v>
      </c>
      <c r="C19" s="54" t="s">
        <v>632</v>
      </c>
      <c r="D19" s="55"/>
      <c r="E19" s="51"/>
      <c r="F19" s="51"/>
    </row>
    <row r="20" spans="1:6" ht="15" customHeight="1" x14ac:dyDescent="0.55000000000000004">
      <c r="A20" s="111">
        <v>6</v>
      </c>
      <c r="B20" s="51" t="s">
        <v>637</v>
      </c>
      <c r="C20" s="54" t="s">
        <v>632</v>
      </c>
      <c r="D20" s="55"/>
      <c r="E20" s="51"/>
      <c r="F20" s="51"/>
    </row>
    <row r="21" spans="1:6" ht="15" customHeight="1" x14ac:dyDescent="0.55000000000000004">
      <c r="A21" s="112"/>
      <c r="B21" s="113" t="s">
        <v>638</v>
      </c>
      <c r="C21" s="112"/>
      <c r="D21" s="114">
        <f>SUM(D15:D20)</f>
        <v>0</v>
      </c>
      <c r="E21" s="112"/>
      <c r="F21" s="112"/>
    </row>
    <row r="23" spans="1:6" ht="19.5" customHeight="1" x14ac:dyDescent="0.55000000000000004">
      <c r="A23" s="310" t="s">
        <v>639</v>
      </c>
      <c r="B23" s="310"/>
      <c r="C23" s="310"/>
      <c r="D23" s="310"/>
      <c r="E23" s="310"/>
      <c r="F23" s="310"/>
    </row>
    <row r="24" spans="1:6" ht="15" customHeight="1" x14ac:dyDescent="0.55000000000000004">
      <c r="A24" s="317" t="s">
        <v>640</v>
      </c>
      <c r="B24" s="317"/>
      <c r="C24" s="317"/>
      <c r="D24" s="124">
        <f>ExistingFB_WC+ExistingFB_TL+ProposedFB_WC+ProposedFB_TL</f>
        <v>0</v>
      </c>
    </row>
    <row r="25" spans="1:6" ht="15" customHeight="1" x14ac:dyDescent="0.55000000000000004">
      <c r="A25" s="317" t="s">
        <v>641</v>
      </c>
      <c r="B25" s="317"/>
      <c r="C25" s="317"/>
      <c r="D25" s="124">
        <f>D12+D21</f>
        <v>0</v>
      </c>
    </row>
    <row r="26" spans="1:6" ht="15" customHeight="1" x14ac:dyDescent="0.55000000000000004">
      <c r="A26" s="317" t="s">
        <v>642</v>
      </c>
      <c r="B26" s="317"/>
      <c r="C26" s="317"/>
      <c r="D26" s="125">
        <f>IFERROR(D25/D24,0)</f>
        <v>0</v>
      </c>
      <c r="E26" s="318" t="str">
        <f>IF(D24=0,"Awaiting limit data",IF(D26&lt;1,"⚠ Coverage &lt;100%",IF(D26&lt;1.5,"✓ Coverage adequate (100-150%)","✓ Coverage strong (&gt;150%)")))</f>
        <v>Awaiting limit data</v>
      </c>
      <c r="F26" s="318"/>
    </row>
  </sheetData>
  <mergeCells count="9">
    <mergeCell ref="A24:C24"/>
    <mergeCell ref="A25:C25"/>
    <mergeCell ref="A26:C26"/>
    <mergeCell ref="E26:F26"/>
    <mergeCell ref="A1:F1"/>
    <mergeCell ref="A2:F2"/>
    <mergeCell ref="A6:F6"/>
    <mergeCell ref="A14:F14"/>
    <mergeCell ref="A23:F2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H54"/>
  <sheetViews>
    <sheetView zoomScaleNormal="100" workbookViewId="0">
      <selection sqref="A1:H1"/>
    </sheetView>
  </sheetViews>
  <sheetFormatPr defaultColWidth="8.68359375" defaultRowHeight="14.4" x14ac:dyDescent="0.55000000000000004"/>
  <cols>
    <col min="1" max="1" width="4" customWidth="1"/>
    <col min="2" max="2" width="35" customWidth="1"/>
    <col min="3" max="3" width="26" customWidth="1"/>
    <col min="4" max="4" width="13" customWidth="1"/>
    <col min="5" max="6" width="14" customWidth="1"/>
    <col min="7" max="7" width="60" customWidth="1"/>
  </cols>
  <sheetData>
    <row r="1" spans="1:8" ht="24" customHeight="1" x14ac:dyDescent="0.55000000000000004">
      <c r="A1" s="294" t="str">
        <f>CONCATENATE("RED FLAGS DASHBOARD  |  ", BorrowerName)</f>
        <v xml:space="preserve">RED FLAGS DASHBOARD  |  </v>
      </c>
      <c r="B1" s="294"/>
      <c r="C1" s="294"/>
      <c r="D1" s="294"/>
      <c r="E1" s="294"/>
      <c r="F1" s="294"/>
      <c r="G1" s="294"/>
      <c r="H1" s="294"/>
    </row>
    <row r="2" spans="1:8" ht="15" customHeight="1" x14ac:dyDescent="0.55000000000000004">
      <c r="A2" s="295" t="s">
        <v>643</v>
      </c>
      <c r="B2" s="295"/>
      <c r="C2" s="295"/>
      <c r="D2" s="295"/>
      <c r="E2" s="295"/>
      <c r="F2" s="295"/>
      <c r="G2" s="295"/>
      <c r="H2" s="295"/>
    </row>
    <row r="4" spans="1:8" ht="30" customHeight="1" x14ac:dyDescent="0.55000000000000004">
      <c r="A4" s="110" t="s">
        <v>644</v>
      </c>
      <c r="B4" s="110" t="s">
        <v>645</v>
      </c>
      <c r="C4" s="110" t="s">
        <v>646</v>
      </c>
      <c r="D4" s="110" t="s">
        <v>647</v>
      </c>
      <c r="E4" s="110" t="s">
        <v>5</v>
      </c>
      <c r="F4" s="110" t="s">
        <v>6</v>
      </c>
      <c r="G4" s="110" t="s">
        <v>648</v>
      </c>
    </row>
    <row r="5" spans="1:8" ht="18" customHeight="1" x14ac:dyDescent="0.55000000000000004">
      <c r="A5" s="319" t="s">
        <v>649</v>
      </c>
      <c r="B5" s="319"/>
      <c r="C5" s="319"/>
      <c r="D5" s="319"/>
      <c r="E5" s="319"/>
      <c r="F5" s="319"/>
      <c r="G5" s="319"/>
    </row>
    <row r="6" spans="1:8" ht="37.5" customHeight="1" x14ac:dyDescent="0.55000000000000004">
      <c r="A6" s="63">
        <v>1</v>
      </c>
      <c r="B6" s="126" t="s">
        <v>650</v>
      </c>
      <c r="C6" s="127" t="s">
        <v>651</v>
      </c>
      <c r="D6" s="128">
        <f>INDEX('2_Operating_Statement'!C58:N58,1,LatestAudCol)</f>
        <v>0</v>
      </c>
      <c r="E6" s="129" t="s">
        <v>652</v>
      </c>
      <c r="F6" s="130" t="str">
        <f>IF(INDEX('2_Operating_Statement'!C58:N58,1,LatestAudCol)&lt;0,"⚠ BREACH","✓ OK")</f>
        <v>✓ OK</v>
      </c>
      <c r="G6" s="96" t="str">
        <f>IF(INDEX('2_Operating_Statement'!C58:N58,1,LatestAudCol)&lt;0,"PAT was negative in latest audited year. Investigate root cause — one-off vs structural. Test sustainability.","No loss in latest year.")</f>
        <v>No loss in latest year.</v>
      </c>
    </row>
    <row r="7" spans="1:8" ht="37.5" customHeight="1" x14ac:dyDescent="0.55000000000000004">
      <c r="A7" s="63">
        <v>2</v>
      </c>
      <c r="B7" s="126" t="s">
        <v>653</v>
      </c>
      <c r="C7" s="127" t="s">
        <v>654</v>
      </c>
      <c r="D7" s="131">
        <f>IFERROR(INDEX('2_Operating_Statement'!C33:N33,1,LatestAudCol)/INDEX('2_Operating_Statement'!C13:N13,1,LatestAudCol),0)-IFERROR(INDEX('2_Operating_Statement'!C33:N33,1,PriorAudCol)/INDEX('2_Operating_Statement'!C13:N13,1,PriorAudCol),0)</f>
        <v>0</v>
      </c>
      <c r="E7" s="129" t="s">
        <v>655</v>
      </c>
      <c r="F7" s="130" t="str">
        <f>IF(IFERROR(INDEX('2_Operating_Statement'!C33:N33,1,LatestAudCol)/INDEX('2_Operating_Statement'!C13:N13,1,LatestAudCol),0)-IFERROR(INDEX('2_Operating_Statement'!C33:N33,1,PriorAudCol)/INDEX('2_Operating_Statement'!C13:N13,1,PriorAudCol),0)&lt;-0.02,"⚠ BREACH","✓ OK")</f>
        <v>✓ OK</v>
      </c>
      <c r="G7" s="96" t="str">
        <f>IF(IFERROR(INDEX('2_Operating_Statement'!C33:N33,1,LatestAudCol)/INDEX('2_Operating_Statement'!C13:N13,1,LatestAudCol),0)-IFERROR(INDEX('2_Operating_Statement'!C33:N33,1,PriorAudCol)/INDEX('2_Operating_Statement'!C13:N13,1,PriorAudCol),0)&lt;-0.02,"OPM compressed &gt;2pp YoY. Quantify cost element driving compression (RM/power/labour) and check pass-through ability.","OPM stable / improved YoY.")</f>
        <v>OPM stable / improved YoY.</v>
      </c>
    </row>
    <row r="8" spans="1:8" ht="37.5" customHeight="1" x14ac:dyDescent="0.55000000000000004">
      <c r="A8" s="63">
        <v>3</v>
      </c>
      <c r="B8" s="126" t="s">
        <v>656</v>
      </c>
      <c r="C8" s="127" t="s">
        <v>657</v>
      </c>
      <c r="D8" s="131">
        <f>IFERROR((INDEX('2_Operating_Statement'!C13:N13,1,LatestAudCol)-INDEX('2_Operating_Statement'!C13:N13,1,PriorAudCol))/INDEX('2_Operating_Statement'!C13:N13,1,PriorAudCol),0)</f>
        <v>0</v>
      </c>
      <c r="E8" s="129" t="s">
        <v>658</v>
      </c>
      <c r="F8" s="130" t="str">
        <f>IF(IFERROR((INDEX('2_Operating_Statement'!C13:N13,1,LatestAudCol)-INDEX('2_Operating_Statement'!C13:N13,1,PriorAudCol))/INDEX('2_Operating_Statement'!C13:N13,1,PriorAudCol),0)&gt;0.5,"⚠ VERIFY","✓ OK")</f>
        <v>✓ OK</v>
      </c>
      <c r="G8" s="96" t="str">
        <f>IF(IFERROR((INDEX('2_Operating_Statement'!C13:N13,1,LatestAudCol)-INDEX('2_Operating_Statement'!C13:N13,1,PriorAudCol))/INDEX('2_Operating_Statement'!C13:N13,1,PriorAudCol),0)&gt;0.5,"Sales jumped &gt;50% YoY. Verify with GST 3B/9 returns, sales register, customer concentration. Check for one-off contracts / order book stretch.","Sales growth within reasonable range.")</f>
        <v>Sales growth within reasonable range.</v>
      </c>
    </row>
    <row r="9" spans="1:8" ht="37.5" customHeight="1" x14ac:dyDescent="0.55000000000000004">
      <c r="A9" s="63">
        <v>4</v>
      </c>
      <c r="B9" s="126" t="s">
        <v>659</v>
      </c>
      <c r="C9" s="127" t="s">
        <v>660</v>
      </c>
      <c r="D9" s="131">
        <f>IFERROR((INDEX('2_Operating_Statement'!C13:N13,1,LatestAudCol)-INDEX('2_Operating_Statement'!C13:N13,1,PriorAudCol))/INDEX('2_Operating_Statement'!C13:N13,1,PriorAudCol),0)</f>
        <v>0</v>
      </c>
      <c r="E9" s="129" t="s">
        <v>12</v>
      </c>
      <c r="F9" s="130" t="str">
        <f>IF(IFERROR((INDEX('2_Operating_Statement'!C13:N13,1,LatestAudCol)-INDEX('2_Operating_Statement'!C13:N13,1,PriorAudCol))/INDEX('2_Operating_Statement'!C13:N13,1,PriorAudCol),0)&lt;MinSalesGrowth,"⚠ BREACH","✓ OK")</f>
        <v>✓ OK</v>
      </c>
      <c r="G9" s="96" t="str">
        <f>IF(IFERROR((INDEX('2_Operating_Statement'!C13:N13,1,LatestAudCol)-INDEX('2_Operating_Statement'!C13:N13,1,PriorAudCol))/INDEX('2_Operating_Statement'!C13:N13,1,PriorAudCol),0)&lt;MinSalesGrowth,"Net Sales declined materially. Investigate volume vs realisation; check competitive position; assess sustainability of WC limit.","Sales trajectory within tolerance.")</f>
        <v>Sales trajectory within tolerance.</v>
      </c>
    </row>
    <row r="10" spans="1:8" ht="18" customHeight="1" x14ac:dyDescent="0.55000000000000004">
      <c r="A10" s="319" t="s">
        <v>661</v>
      </c>
      <c r="B10" s="319"/>
      <c r="C10" s="319"/>
      <c r="D10" s="319"/>
      <c r="E10" s="319"/>
      <c r="F10" s="319"/>
      <c r="G10" s="319"/>
    </row>
    <row r="11" spans="1:8" ht="37.5" customHeight="1" x14ac:dyDescent="0.55000000000000004">
      <c r="A11" s="63">
        <v>5</v>
      </c>
      <c r="B11" s="126" t="s">
        <v>662</v>
      </c>
      <c r="C11" s="127" t="s">
        <v>663</v>
      </c>
      <c r="D11" s="132">
        <f>IFERROR(INDEX('3_Balance_Sheet'!C82:N82,1,LatestAudCol)/INDEX('3_Balance_Sheet'!C27:N27,1,LatestAudCol),0)</f>
        <v>0</v>
      </c>
      <c r="E11" s="129" t="s">
        <v>21</v>
      </c>
      <c r="F11" s="130" t="str">
        <f>IF(IFERROR(INDEX('3_Balance_Sheet'!C82:N82,1,LatestAudCol)/INDEX('3_Balance_Sheet'!C27:N27,1,LatestAudCol),0)&lt;MinCR,"⚠ BREACH","✓ OK")</f>
        <v>⚠ BREACH</v>
      </c>
      <c r="G11" s="96" t="str">
        <f>IF(IFERROR(INDEX('3_Balance_Sheet'!C82:N82,1,LatestAudCol)/INDEX('3_Balance_Sheet'!C27:N27,1,LatestAudCol),0)&lt;MinCR,"CR below threshold. Liquidity stretched. Examine inventory build, receivable ageing, and STBB concentration.","CR meets minimum acceptable level.")</f>
        <v>CR below threshold. Liquidity stretched. Examine inventory build, receivable ageing, and STBB concentration.</v>
      </c>
    </row>
    <row r="12" spans="1:8" ht="37.5" customHeight="1" x14ac:dyDescent="0.55000000000000004">
      <c r="A12" s="63">
        <v>6</v>
      </c>
      <c r="B12" s="126" t="s">
        <v>664</v>
      </c>
      <c r="C12" s="127" t="s">
        <v>665</v>
      </c>
      <c r="D12" s="128">
        <f>INDEX('3_Balance_Sheet'!C82:N82,1,LatestAudCol)-INDEX('3_Balance_Sheet'!C27:N27,1,LatestAudCol)</f>
        <v>0</v>
      </c>
      <c r="E12" s="129" t="s">
        <v>666</v>
      </c>
      <c r="F12" s="130" t="str">
        <f>IF(INDEX('3_Balance_Sheet'!C82:N82,1,LatestAudCol)-INDEX('3_Balance_Sheet'!C27:N27,1,LatestAudCol)&lt;=0,"⚠ BREACH","✓ OK")</f>
        <v>⚠ BREACH</v>
      </c>
      <c r="G12" s="96" t="str">
        <f>IF(INDEX('3_Balance_Sheet'!C82:N82,1,LatestAudCol)-INDEX('3_Balance_Sheet'!C27:N27,1,LatestAudCol)&lt;=0,"NWC is negative — TCA insufficient to cover TCL. Borrower cannot self-fund operating cycle. Critical for WC limit decision.","NWC positive.")</f>
        <v>NWC is negative — TCA insufficient to cover TCL. Borrower cannot self-fund operating cycle. Critical for WC limit decision.</v>
      </c>
    </row>
    <row r="13" spans="1:8" ht="37.5" customHeight="1" x14ac:dyDescent="0.55000000000000004">
      <c r="A13" s="63">
        <v>7</v>
      </c>
      <c r="B13" s="126" t="s">
        <v>667</v>
      </c>
      <c r="C13" s="127" t="s">
        <v>668</v>
      </c>
      <c r="D13" s="131">
        <f>IFERROR(((INDEX('3_Balance_Sheet'!C82:N82,1,LatestAudCol)-INDEX('3_Balance_Sheet'!C27:N27,1,LatestAudCol))-(INDEX('3_Balance_Sheet'!C82:N82,1,PriorAudCol)-INDEX('3_Balance_Sheet'!C27:N27,1,PriorAudCol)))/ABS(INDEX('3_Balance_Sheet'!C82:N82,1,PriorAudCol)-INDEX('3_Balance_Sheet'!C27:N27,1,PriorAudCol)),0)</f>
        <v>0</v>
      </c>
      <c r="E13" s="129" t="s">
        <v>669</v>
      </c>
      <c r="F13" s="130" t="str">
        <f>IF(IFERROR(((INDEX('3_Balance_Sheet'!C82:N82,1,LatestAudCol)-INDEX('3_Balance_Sheet'!C27:N27,1,LatestAudCol))-(INDEX('3_Balance_Sheet'!C82:N82,1,PriorAudCol)-INDEX('3_Balance_Sheet'!C27:N27,1,PriorAudCol)))/ABS(INDEX('3_Balance_Sheet'!C82:N82,1,PriorAudCol)-INDEX('3_Balance_Sheet'!C27:N27,1,PriorAudCol)),0)&lt;MaxNWCErosion,"⚠ BREACH","✓ OK")</f>
        <v>✓ OK</v>
      </c>
      <c r="G13" s="96" t="str">
        <f>IF(IFERROR(((INDEX('3_Balance_Sheet'!C82:N82,1,LatestAudCol)-INDEX('3_Balance_Sheet'!C27:N27,1,LatestAudCol))-(INDEX('3_Balance_Sheet'!C82:N82,1,PriorAudCol)-INDEX('3_Balance_Sheet'!C27:N27,1,PriorAudCol)))/ABS(INDEX('3_Balance_Sheet'!C82:N82,1,PriorAudCol)-INDEX('3_Balance_Sheet'!C27:N27,1,PriorAudCol)),0)&lt;MaxNWCErosion,"NWC eroded sharply YoY — typically signals capex from internal accruals, cash payouts, or losses. Reconcile with Funds Flow.","NWC stable / improved.")</f>
        <v>NWC stable / improved.</v>
      </c>
    </row>
    <row r="14" spans="1:8" ht="18" customHeight="1" x14ac:dyDescent="0.55000000000000004">
      <c r="A14" s="319" t="s">
        <v>670</v>
      </c>
      <c r="B14" s="319"/>
      <c r="C14" s="319"/>
      <c r="D14" s="319"/>
      <c r="E14" s="319"/>
      <c r="F14" s="319"/>
      <c r="G14" s="319"/>
    </row>
    <row r="15" spans="1:8" ht="37.5" customHeight="1" x14ac:dyDescent="0.55000000000000004">
      <c r="A15" s="63">
        <v>8</v>
      </c>
      <c r="B15" s="126" t="s">
        <v>671</v>
      </c>
      <c r="C15" s="127" t="s">
        <v>672</v>
      </c>
      <c r="D15" s="132">
        <f>IFERROR(INDEX('3_Balance_Sheet'!C40:N40,1,LatestAudCol)/INDEX('3_Balance_Sheet'!C52:N52,1,LatestAudCol),0)</f>
        <v>0</v>
      </c>
      <c r="E15" s="129" t="s">
        <v>24</v>
      </c>
      <c r="F15" s="130" t="str">
        <f>IF(IFERROR(INDEX('3_Balance_Sheet'!C40:N40,1,LatestAudCol)/INDEX('3_Balance_Sheet'!C52:N52,1,LatestAudCol),0)&gt;MaxTOLTNW,"⚠ BREACH","✓ OK")</f>
        <v>✓ OK</v>
      </c>
      <c r="G15" s="96" t="str">
        <f>IF(INDEX('3_Balance_Sheet'!C52:N52,1,LatestAudCol)&lt;=0,"TNW negative or zero. Critical — solvency at risk.",IF(IFERROR(INDEX('3_Balance_Sheet'!C40:N40,1,LatestAudCol)/INDEX('3_Balance_Sheet'!C52:N52,1,LatestAudCol),0)&gt;MaxTOLTNW,"Leverage breach. Quantify gap; check fresh equity infusion plan or debt repayment schedule; tighten covenants.","Leverage within tolerance."))</f>
        <v>TNW negative or zero. Critical — solvency at risk.</v>
      </c>
    </row>
    <row r="16" spans="1:8" ht="37.5" customHeight="1" x14ac:dyDescent="0.55000000000000004">
      <c r="A16" s="63">
        <v>9</v>
      </c>
      <c r="B16" s="126" t="s">
        <v>673</v>
      </c>
      <c r="C16" s="127" t="s">
        <v>674</v>
      </c>
      <c r="D16" s="128">
        <f>INDEX('3_Balance_Sheet'!C52:N52,1,LatestAudCol)</f>
        <v>0</v>
      </c>
      <c r="E16" s="129" t="s">
        <v>666</v>
      </c>
      <c r="F16" s="130" t="str">
        <f>IF(INDEX('3_Balance_Sheet'!C52:N52,1,LatestAudCol)&lt;=0,"⚠ CRITICAL","✓ OK")</f>
        <v>⚠ CRITICAL</v>
      </c>
      <c r="G16" s="96" t="str">
        <f>IF(INDEX('3_Balance_Sheet'!C52:N52,1,LatestAudCol)&lt;=0,"TNW eroded — indicates accumulated losses exceed paid-up capital + reserves. Restructuring or fresh equity is essential.","TNW positive.")</f>
        <v>TNW eroded — indicates accumulated losses exceed paid-up capital + reserves. Restructuring or fresh equity is essential.</v>
      </c>
    </row>
    <row r="17" spans="1:7" ht="37.5" customHeight="1" x14ac:dyDescent="0.55000000000000004">
      <c r="A17" s="63">
        <v>10</v>
      </c>
      <c r="B17" s="126" t="s">
        <v>675</v>
      </c>
      <c r="C17" s="127" t="s">
        <v>676</v>
      </c>
      <c r="D17" s="132">
        <f>IFERROR(INDEX('3_Balance_Sheet'!C39:N39,1,LatestAudCol)/(INDEX('2_Operating_Statement'!C33:N33,1,LatestAudCol)+INDEX('2_Operating_Statement'!C24:N24,1,LatestAudCol)),0)</f>
        <v>0</v>
      </c>
      <c r="E17" s="129" t="s">
        <v>677</v>
      </c>
      <c r="F17" s="130" t="str">
        <f>IF((INDEX('2_Operating_Statement'!C33:N33,1,LatestAudCol)+INDEX('2_Operating_Statement'!C24:N24,1,LatestAudCol))&lt;=0,"⚠ EBITDA NIL",IF(IFERROR(INDEX('3_Balance_Sheet'!C39:N39,1,LatestAudCol)/(INDEX('2_Operating_Statement'!C33:N33,1,LatestAudCol)+INDEX('2_Operating_Statement'!C24:N24,1,LatestAudCol)),0)&gt;MaxLeverage,"⚠ BREACH","✓ OK"))</f>
        <v>⚠ EBITDA NIL</v>
      </c>
      <c r="G17" s="96" t="str">
        <f>IF((INDEX('2_Operating_Statement'!C33:N33,1,LatestAudCol)+INDEX('2_Operating_Statement'!C24:N24,1,LatestAudCol))&lt;=0,"EBITDA negative or zero — Debt/EBITDA undefined. Operations not generating cash to service debt.",IF(IFERROR(INDEX('3_Balance_Sheet'!C39:N39,1,LatestAudCol)/(INDEX('2_Operating_Statement'!C33:N33,1,LatestAudCol)+INDEX('2_Operating_Statement'!C24:N24,1,LatestAudCol)),0)&gt;MaxLeverage,"Debt/EBITDA exceeds ceiling. Test covenant compliance; project deleveraging path and FCF coverage.","Leverage manageable."))</f>
        <v>EBITDA negative or zero — Debt/EBITDA undefined. Operations not generating cash to service debt.</v>
      </c>
    </row>
    <row r="18" spans="1:7" ht="18" customHeight="1" x14ac:dyDescent="0.55000000000000004">
      <c r="A18" s="319" t="s">
        <v>678</v>
      </c>
      <c r="B18" s="319"/>
      <c r="C18" s="319"/>
      <c r="D18" s="319"/>
      <c r="E18" s="319"/>
      <c r="F18" s="319"/>
      <c r="G18" s="319"/>
    </row>
    <row r="19" spans="1:7" ht="37.5" customHeight="1" x14ac:dyDescent="0.55000000000000004">
      <c r="A19" s="63">
        <v>11</v>
      </c>
      <c r="B19" s="126" t="s">
        <v>679</v>
      </c>
      <c r="C19" s="127" t="s">
        <v>680</v>
      </c>
      <c r="D19" s="132">
        <f>IFERROR(INDEX('2_Operating_Statement'!C33:N33,1,LatestAudCol)/INDEX('2_Operating_Statement'!C37:N37,1,LatestAudCol),0)</f>
        <v>0</v>
      </c>
      <c r="E19" s="129" t="s">
        <v>27</v>
      </c>
      <c r="F19" s="130" t="str">
        <f>IF(INDEX('2_Operating_Statement'!C37:N37,1,LatestAudCol)&lt;=0,"✓ NO INT",IF(IFERROR(INDEX('2_Operating_Statement'!C33:N33,1,LatestAudCol)/INDEX('2_Operating_Statement'!C37:N37,1,LatestAudCol),0)&lt;MinICR,"⚠ BREACH","✓ OK"))</f>
        <v>✓ NO INT</v>
      </c>
      <c r="G19" s="96" t="str">
        <f>IF(INDEX('2_Operating_Statement'!C37:N37,1,LatestAudCol)&lt;=0,"No interest outgo in latest year — review",IF(IFERROR(INDEX('2_Operating_Statement'!C33:N33,1,LatestAudCol)/INDEX('2_Operating_Statement'!C37:N37,1,LatestAudCol),0)&lt;MinICR,"ICR below minimum — operating profit insufficient to cover interest. Check pricing, debt mix, refinancing options.","ICR acceptable."))</f>
        <v>No interest outgo in latest year — review</v>
      </c>
    </row>
    <row r="20" spans="1:7" ht="37.5" customHeight="1" x14ac:dyDescent="0.55000000000000004">
      <c r="A20" s="63">
        <v>12</v>
      </c>
      <c r="B20" s="126" t="s">
        <v>681</v>
      </c>
      <c r="C20" s="127" t="s">
        <v>682</v>
      </c>
      <c r="D20" s="132">
        <f>MIN(IF('4_DSCR'!C13:N13&gt;0,'4_DSCR'!C17:N17,99))</f>
        <v>99</v>
      </c>
      <c r="E20" s="129" t="s">
        <v>30</v>
      </c>
      <c r="F20" s="130" t="str">
        <f>IF(MIN(IF('4_DSCR'!C13:N13&gt;0,'4_DSCR'!C17:N17,99))&lt;MinDSCR_Any,"⚠ BREACH","✓ OK")</f>
        <v>✓ OK</v>
      </c>
      <c r="G20" s="96" t="str">
        <f>IF(MIN(IF('4_DSCR'!C13:N13&gt;0,'4_DSCR'!C17:N17,99))&lt;MinDSCR_Any,"DSCR below minimum in at least one year. Identify the year, root cause, and request comfort (sponsor support / DSRA / structured cash flows).","DSCR meets minimum in all years.")</f>
        <v>DSCR meets minimum in all years.</v>
      </c>
    </row>
    <row r="21" spans="1:7" ht="37.5" customHeight="1" x14ac:dyDescent="0.55000000000000004">
      <c r="A21" s="63">
        <v>13</v>
      </c>
      <c r="B21" s="126" t="s">
        <v>683</v>
      </c>
      <c r="C21" s="127" t="s">
        <v>684</v>
      </c>
      <c r="D21" s="132">
        <f>'4_DSCR'!C19</f>
        <v>0</v>
      </c>
      <c r="E21" s="129" t="s">
        <v>685</v>
      </c>
      <c r="F21" s="130" t="str">
        <f>IF('4_DSCR'!C19&lt;MinDSCR_Avg,"⚠ BREACH","✓ OK")</f>
        <v>⚠ BREACH</v>
      </c>
      <c r="G21" s="96" t="str">
        <f>IF('4_DSCR'!C19&lt;MinDSCR_Avg,"Average DSCR weak — lifecycle servicing capacity inadequate. Re-examine TL repayment structure and tenor.","Average DSCR meets benchmark.")</f>
        <v>Average DSCR weak — lifecycle servicing capacity inadequate. Re-examine TL repayment structure and tenor.</v>
      </c>
    </row>
    <row r="22" spans="1:7" ht="18" customHeight="1" x14ac:dyDescent="0.55000000000000004">
      <c r="A22" s="319" t="s">
        <v>686</v>
      </c>
      <c r="B22" s="319"/>
      <c r="C22" s="319"/>
      <c r="D22" s="319"/>
      <c r="E22" s="319"/>
      <c r="F22" s="319"/>
      <c r="G22" s="319"/>
    </row>
    <row r="23" spans="1:7" ht="37.5" customHeight="1" x14ac:dyDescent="0.55000000000000004">
      <c r="A23" s="63">
        <v>14</v>
      </c>
      <c r="B23" s="126" t="s">
        <v>687</v>
      </c>
      <c r="C23" s="127" t="s">
        <v>688</v>
      </c>
      <c r="D23" s="133">
        <f>IFERROR((INDEX('3_Balance_Sheet'!C73:N73,1,LatestAudCol)*365/INDEX('2_Operating_Statement'!C13:N13,1,LatestAudCol))-(INDEX('3_Balance_Sheet'!C73:N73,1,PriorAudCol)*365/INDEX('2_Operating_Statement'!C13:N13,1,PriorAudCol)),0)</f>
        <v>0</v>
      </c>
      <c r="E23" s="129" t="s">
        <v>689</v>
      </c>
      <c r="F23" s="130" t="str">
        <f>IF(IFERROR(((INDEX('3_Balance_Sheet'!C73:N73,1,LatestAudCol)*365/INDEX('2_Operating_Statement'!C13:N13,1,LatestAudCol))/(INDEX('3_Balance_Sheet'!C73:N73,1,PriorAudCol)*365/INDEX('2_Operating_Statement'!C13:N13,1,PriorAudCol))-1),0)&gt;MaxInvDays,"⚠ BREACH","✓ OK")</f>
        <v>✓ OK</v>
      </c>
      <c r="G23" s="96" t="str">
        <f>IF(IFERROR(((INDEX('3_Balance_Sheet'!C73:N73,1,LatestAudCol)*365/INDEX('2_Operating_Statement'!C13:N13,1,LatestAudCol))/(INDEX('3_Balance_Sheet'!C73:N73,1,PriorAudCol)*365/INDEX('2_Operating_Statement'!C13:N13,1,PriorAudCol))-1),0)&gt;MaxInvDays,"Inventory days stretched materially — could indicate slow-moving stock, obsolescence, or window-dressing of FG. Get age-wise breakup.","Inventory days within tolerance.")</f>
        <v>Inventory days within tolerance.</v>
      </c>
    </row>
    <row r="24" spans="1:7" ht="37.5" customHeight="1" x14ac:dyDescent="0.55000000000000004">
      <c r="A24" s="63">
        <v>15</v>
      </c>
      <c r="B24" s="126" t="s">
        <v>690</v>
      </c>
      <c r="C24" s="127" t="s">
        <v>691</v>
      </c>
      <c r="D24" s="131">
        <f>IFERROR(((INDEX('3_Balance_Sheet'!C59:N59,1,LatestAudCol)+INDEX('3_Balance_Sheet'!C60:N60,1,LatestAudCol))/(INDEX('3_Balance_Sheet'!C59:N59,1,PriorAudCol)+INDEX('3_Balance_Sheet'!C60:N60,1,PriorAudCol))*INDEX('2_Operating_Statement'!C10:N10,1,PriorAudCol)/INDEX('2_Operating_Statement'!C10:N10,1,LatestAudCol))-1,0)</f>
        <v>0</v>
      </c>
      <c r="E24" s="129" t="s">
        <v>692</v>
      </c>
      <c r="F24" s="130" t="str">
        <f>IF(IFERROR(((INDEX('3_Balance_Sheet'!C59:N59,1,LatestAudCol)+INDEX('3_Balance_Sheet'!C60:N60,1,LatestAudCol))/(INDEX('3_Balance_Sheet'!C59:N59,1,PriorAudCol)+INDEX('3_Balance_Sheet'!C60:N60,1,PriorAudCol))*INDEX('2_Operating_Statement'!C10:N10,1,PriorAudCol)/INDEX('2_Operating_Statement'!C10:N10,1,LatestAudCol))-1,0)&gt;MaxDSOIncrease,"⚠ BREACH","✓ OK")</f>
        <v>✓ OK</v>
      </c>
      <c r="G24" s="96" t="str">
        <f>IF(IFERROR(((INDEX('3_Balance_Sheet'!C59:N59,1,LatestAudCol)+INDEX('3_Balance_Sheet'!C60:N60,1,LatestAudCol))/(INDEX('3_Balance_Sheet'!C59:N59,1,PriorAudCol)+INDEX('3_Balance_Sheet'!C60:N60,1,PriorAudCol))*INDEX('2_Operating_Statement'!C10:N10,1,PriorAudCol)/INDEX('2_Operating_Statement'!C10:N10,1,LatestAudCol))-1,0)&gt;MaxDSOIncrease,"Debtors stretched — request ageing analysis (&gt;90 days, &gt;180 days). Check for related-party concentration and customer credit policy change.","Receivables management healthy.")</f>
        <v>Receivables management healthy.</v>
      </c>
    </row>
    <row r="25" spans="1:7" ht="37.5" customHeight="1" x14ac:dyDescent="0.55000000000000004">
      <c r="A25" s="63">
        <v>16</v>
      </c>
      <c r="B25" s="126" t="s">
        <v>693</v>
      </c>
      <c r="C25" s="127" t="s">
        <v>694</v>
      </c>
      <c r="D25" s="131">
        <f>IFERROR(((INDEX('3_Balance_Sheet'!C14:N14,1,LatestAudCol)+INDEX('3_Balance_Sheet'!C15:N15,1,LatestAudCol))/(INDEX('3_Balance_Sheet'!C14:N14,1,PriorAudCol)+INDEX('3_Balance_Sheet'!C15:N15,1,PriorAudCol))*(INDEX('2_Operating_Statement'!C17:N17,1,PriorAudCol)+INDEX('2_Operating_Statement'!C20:N20,1,PriorAudCol))/(INDEX('2_Operating_Statement'!C17:N17,1,LatestAudCol)+INDEX('2_Operating_Statement'!C20:N20,1,LatestAudCol)))-1,0)</f>
        <v>0</v>
      </c>
      <c r="E25" s="129" t="s">
        <v>695</v>
      </c>
      <c r="F25" s="130" t="str">
        <f>IF(IFERROR(((INDEX('3_Balance_Sheet'!C14:N14,1,LatestAudCol)+INDEX('3_Balance_Sheet'!C15:N15,1,LatestAudCol))/(INDEX('3_Balance_Sheet'!C14:N14,1,PriorAudCol)+INDEX('3_Balance_Sheet'!C15:N15,1,PriorAudCol))*(INDEX('2_Operating_Statement'!C17:N17,1,PriorAudCol)+INDEX('2_Operating_Statement'!C20:N20,1,PriorAudCol))/(INDEX('2_Operating_Statement'!C17:N17,1,LatestAudCol)+INDEX('2_Operating_Statement'!C20:N20,1,LatestAudCol)))-1,0)&gt;MaxDPOStretch,"⚠ BREACH","✓ OK")</f>
        <v>✓ OK</v>
      </c>
      <c r="G25" s="96" t="str">
        <f>IF(IFERROR(((INDEX('3_Balance_Sheet'!C14:N14,1,LatestAudCol)+INDEX('3_Balance_Sheet'!C15:N15,1,LatestAudCol))/(INDEX('3_Balance_Sheet'!C14:N14,1,PriorAudCol)+INDEX('3_Balance_Sheet'!C15:N15,1,PriorAudCol))*(INDEX('2_Operating_Statement'!C17:N17,1,PriorAudCol)+INDEX('2_Operating_Statement'!C20:N20,1,PriorAudCol))/(INDEX('2_Operating_Statement'!C17:N17,1,LatestAudCol)+INDEX('2_Operating_Statement'!C20:N20,1,LatestAudCol)))-1,0)&gt;MaxDPOStretch,"DPO stretched — indicates supplier credit being relied on. Verify supplier dispute / ageing payables / withholding from disputed creditors.","Payables behaviour stable.")</f>
        <v>Payables behaviour stable.</v>
      </c>
    </row>
    <row r="26" spans="1:7" ht="37.5" customHeight="1" x14ac:dyDescent="0.55000000000000004">
      <c r="A26" s="63">
        <v>17</v>
      </c>
      <c r="B26" s="126" t="s">
        <v>696</v>
      </c>
      <c r="C26" s="127" t="s">
        <v>697</v>
      </c>
      <c r="D26" s="131">
        <f>IFERROR(INDEX('3_Balance_Sheet'!C11:N11,1,LatestAudCol)/INDEX('3_Balance_Sheet'!C27:N27,1,LatestAudCol),0)</f>
        <v>0</v>
      </c>
      <c r="E26" s="129" t="s">
        <v>698</v>
      </c>
      <c r="F26" s="130" t="str">
        <f>IF(IFERROR(INDEX('3_Balance_Sheet'!C11:N11,1,LatestAudCol)/INDEX('3_Balance_Sheet'!C27:N27,1,LatestAudCol),0)&gt;0.7,"⚠ BREACH","✓ OK")</f>
        <v>✓ OK</v>
      </c>
      <c r="G26" s="96" t="str">
        <f>IF(IFERROR(INDEX('3_Balance_Sheet'!C11:N11,1,LatestAudCol)/INDEX('3_Balance_Sheet'!C27:N27,1,LatestAudCol),0)&gt;0.7,"Borrower over-reliant on bank credit for current liabilities. Check trade credit terms / efforts to extend supplier credit.","Mix of CL is balanced.")</f>
        <v>Mix of CL is balanced.</v>
      </c>
    </row>
    <row r="27" spans="1:7" ht="18" customHeight="1" x14ac:dyDescent="0.55000000000000004">
      <c r="A27" s="319" t="s">
        <v>699</v>
      </c>
      <c r="B27" s="319"/>
      <c r="C27" s="319"/>
      <c r="D27" s="319"/>
      <c r="E27" s="319"/>
      <c r="F27" s="319"/>
      <c r="G27" s="319"/>
    </row>
    <row r="28" spans="1:7" ht="37.5" customHeight="1" x14ac:dyDescent="0.55000000000000004">
      <c r="A28" s="63">
        <v>18</v>
      </c>
      <c r="B28" s="126" t="s">
        <v>700</v>
      </c>
      <c r="C28" s="127" t="s">
        <v>701</v>
      </c>
      <c r="D28" s="132">
        <f>IFERROR((INDEX('3_Balance_Sheet'!C84:N84,1,LatestAudCol)-INDEX('3_Balance_Sheet'!C84:N84,1,PriorAudCol))/MAX(0.01,(INDEX('3_Balance_Sheet'!C52:N52,1,LatestAudCol)-INDEX('3_Balance_Sheet'!C52:N52,1,PriorAudCol))+(INDEX('3_Balance_Sheet'!C39:N39,1,LatestAudCol)-INDEX('3_Balance_Sheet'!C39:N39,1,PriorAudCol))),0)</f>
        <v>0</v>
      </c>
      <c r="E28" s="129" t="s">
        <v>702</v>
      </c>
      <c r="F28" s="130" t="str">
        <f>IF((INDEX('3_Balance_Sheet'!C84:N84,1,LatestAudCol)-INDEX('3_Balance_Sheet'!C84:N84,1,PriorAudCol))&lt;0.5,"✓ NO CAPEX",IF(IFERROR((INDEX('3_Balance_Sheet'!C84:N84,1,LatestAudCol)-INDEX('3_Balance_Sheet'!C84:N84,1,PriorAudCol))/MAX(0.01,(INDEX('3_Balance_Sheet'!C52:N52,1,LatestAudCol)-INDEX('3_Balance_Sheet'!C52:N52,1,PriorAudCol))+(INDEX('3_Balance_Sheet'!C39:N39,1,LatestAudCol)-INDEX('3_Balance_Sheet'!C39:N39,1,PriorAudCol))),0)&gt;1,"⚠ DIVERSION","✓ OK"))</f>
        <v>✓ NO CAPEX</v>
      </c>
      <c r="G28" s="96" t="str">
        <f>IF((INDEX('3_Balance_Sheet'!C84:N84,1,LatestAudCol)-INDEX('3_Balance_Sheet'!C84:N84,1,PriorAudCol))&lt;0.5,"No material capex in latest year.",IF(IFERROR((INDEX('3_Balance_Sheet'!C84:N84,1,LatestAudCol)-INDEX('3_Balance_Sheet'!C84:N84,1,PriorAudCol))/MAX(0.01,(INDEX('3_Balance_Sheet'!C52:N52,1,LatestAudCol)-INDEX('3_Balance_Sheet'!C52:N52,1,PriorAudCol))+(INDEX('3_Balance_Sheet'!C39:N39,1,LatestAudCol)-INDEX('3_Balance_Sheet'!C39:N39,1,PriorAudCol))),0)&gt;1,"Gross Block addition exceeds long-term-funds raised — capex appears funded from working capital. CRITICAL: quantify diversion, examine end-use compliance, freeze further drawals if confirmed.","Capex matches with LT funds."))</f>
        <v>No material capex in latest year.</v>
      </c>
    </row>
    <row r="29" spans="1:7" ht="37.5" customHeight="1" x14ac:dyDescent="0.55000000000000004">
      <c r="A29" s="63">
        <v>19</v>
      </c>
      <c r="B29" s="126" t="s">
        <v>703</v>
      </c>
      <c r="C29" s="127" t="s">
        <v>704</v>
      </c>
      <c r="D29" s="128">
        <f>(INDEX('3_Balance_Sheet'!C52:N52,1,LatestAudCol)-INDEX('3_Balance_Sheet'!C52:N52,1,PriorAudCol))-INDEX('2_Operating_Statement'!C60:N60,1,LatestAudCol)</f>
        <v>0</v>
      </c>
      <c r="E29" s="129" t="s">
        <v>705</v>
      </c>
      <c r="F29" s="130" t="str">
        <f>IF((INDEX('3_Balance_Sheet'!C52:N52,1,LatestAudCol)-INDEX('3_Balance_Sheet'!C52:N52,1,PriorAudCol))-INDEX('2_Operating_Statement'!C60:N60,1,LatestAudCol)&lt;-1,"⚠ WITHDRAWAL","✓ OK")</f>
        <v>✓ OK</v>
      </c>
      <c r="G29" s="96" t="str">
        <f>IF((INDEX('3_Balance_Sheet'!C52:N52,1,LatestAudCol)-INDEX('3_Balance_Sheet'!C52:N52,1,PriorAudCol))-INDEX('2_Operating_Statement'!C60:N60,1,LatestAudCol)&lt;-1,"TNW change ≠ Retained Profit. Possible capital withdrawal or buyback. Quantify and seek explanation. RBI / bank policy may require this to be disallowed.","No anomalous TNW reduction.")</f>
        <v>No anomalous TNW reduction.</v>
      </c>
    </row>
    <row r="30" spans="1:7" ht="37.5" customHeight="1" x14ac:dyDescent="0.55000000000000004">
      <c r="A30" s="63">
        <v>20</v>
      </c>
      <c r="B30" s="126" t="s">
        <v>706</v>
      </c>
      <c r="C30" s="127" t="s">
        <v>707</v>
      </c>
      <c r="D30" s="131">
        <f>IFERROR(((INDEX('3_Balance_Sheet'!C34:N34,1,LatestAudCol)+INDEX('3_Balance_Sheet'!C35:N35,1,LatestAudCol))/(INDEX('3_Balance_Sheet'!C34:N34,1,PriorAudCol)+INDEX('3_Balance_Sheet'!C35:N35,1,PriorAudCol)))-1,0)</f>
        <v>0</v>
      </c>
      <c r="E30" s="129" t="s">
        <v>708</v>
      </c>
      <c r="F30" s="130" t="str">
        <f>IF((INDEX('3_Balance_Sheet'!C34:N34,1,PriorAudCol)+INDEX('3_Balance_Sheet'!C35:N35,1,PriorAudCol))&lt;0.5,"✓ NEGLIGIBLE",IF(IFERROR(((INDEX('3_Balance_Sheet'!C34:N34,1,LatestAudCol)+INDEX('3_Balance_Sheet'!C35:N35,1,LatestAudCol))/(INDEX('3_Balance_Sheet'!C34:N34,1,PriorAudCol)+INDEX('3_Balance_Sheet'!C35:N35,1,PriorAudCol)))-1,0)&gt;1,"⚠ SURGE","✓ OK"))</f>
        <v>✓ NEGLIGIBLE</v>
      </c>
      <c r="G30" s="96" t="str">
        <f>IF((INDEX('3_Balance_Sheet'!C34:N34,1,PriorAudCol)+INDEX('3_Balance_Sheet'!C35:N35,1,PriorAudCol))&lt;0.5,"Negligible USL outstanding in prior year.",IF(IFERROR(((INDEX('3_Balance_Sheet'!C34:N34,1,LatestAudCol)+INDEX('3_Balance_Sheet'!C35:N35,1,LatestAudCol))/(INDEX('3_Balance_Sheet'!C34:N34,1,PriorAudCol)+INDEX('3_Balance_Sheet'!C35:N35,1,PriorAudCol)))-1,0)&gt;1,"USLs (esp. from promoters/group cos) doubled or more YoY. Could indicate (a) propping up TNW for ratios, (b) related-party fund routing, or (c) genuine equity-like infusion. Probe and convert to subordinated debt if continuing.","USL movement within tolerance."))</f>
        <v>Negligible USL outstanding in prior year.</v>
      </c>
    </row>
    <row r="31" spans="1:7" ht="18" customHeight="1" x14ac:dyDescent="0.55000000000000004">
      <c r="A31" s="319" t="s">
        <v>709</v>
      </c>
      <c r="B31" s="319"/>
      <c r="C31" s="319"/>
      <c r="D31" s="319"/>
      <c r="E31" s="319"/>
      <c r="F31" s="319"/>
      <c r="G31" s="319"/>
    </row>
    <row r="32" spans="1:7" ht="37.5" customHeight="1" x14ac:dyDescent="0.55000000000000004">
      <c r="A32" s="63">
        <v>21</v>
      </c>
      <c r="B32" s="126" t="s">
        <v>710</v>
      </c>
      <c r="C32" s="127" t="s">
        <v>711</v>
      </c>
      <c r="D32" s="131">
        <f>IFERROR(INDEX('3_Balance_Sheet'!C41:N41,1,LatestAudCol)/INDEX('3_Balance_Sheet'!C52:N52,1,LatestAudCol),0)</f>
        <v>0</v>
      </c>
      <c r="E32" s="129" t="s">
        <v>658</v>
      </c>
      <c r="F32" s="130" t="str">
        <f>IF(IFERROR(INDEX('3_Balance_Sheet'!C41:N41,1,LatestAudCol)/INDEX('3_Balance_Sheet'!C52:N52,1,LatestAudCol),0)&gt;0.5,"⚠ HIGH","✓ OK")</f>
        <v>✓ OK</v>
      </c>
      <c r="G32" s="96" t="str">
        <f>IF(INDEX('3_Balance_Sheet'!C41:N41,1,LatestAudCol)&lt;=0,"No corporate guarantees disclosed.",IF(IFERROR(INDEX('3_Balance_Sheet'!C41:N41,1,LatestAudCol)/INDEX('3_Balance_Sheet'!C52:N52,1,LatestAudCol),0)&gt;0.5,"Off-BS exposure via group CGs is significant. Map to specific group entities and assess their standalone credit quality. Risk of devolvement.","Corporate guarantee exposure manageable."))</f>
        <v>No corporate guarantees disclosed.</v>
      </c>
    </row>
    <row r="33" spans="1:8" ht="37.5" customHeight="1" x14ac:dyDescent="0.55000000000000004">
      <c r="A33" s="63">
        <v>22</v>
      </c>
      <c r="B33" s="126" t="s">
        <v>712</v>
      </c>
      <c r="C33" s="127" t="s">
        <v>713</v>
      </c>
      <c r="D33" s="131">
        <f>IFERROR(INDEX('3_Balance_Sheet'!C89:N89,1,LatestAudCol)/INDEX('3_Balance_Sheet'!C52:N52,1,LatestAudCol),0)</f>
        <v>0</v>
      </c>
      <c r="E33" s="129" t="s">
        <v>714</v>
      </c>
      <c r="F33" s="130" t="str">
        <f>IF(IFERROR(INDEX('3_Balance_Sheet'!C89:N89,1,LatestAudCol)/INDEX('3_Balance_Sheet'!C52:N52,1,LatestAudCol),0)&gt;0.25,"⚠ HIGH","✓ OK")</f>
        <v>✓ OK</v>
      </c>
      <c r="G33" s="96" t="str">
        <f>IF(INDEX('3_Balance_Sheet'!C89:N89,1,LatestAudCol)&lt;=0,"No group company investments.",IF(IFERROR(INDEX('3_Balance_Sheet'!C89:N89,1,LatestAudCol)/INDEX('3_Balance_Sheet'!C52:N52,1,LatestAudCol),0)&gt;0.25,"Material capital tied up in group co investments. Examine purpose, dividend yield, and exit option. Could be implicit support to weaker group companies.","Group investments within tolerance."))</f>
        <v>No group company investments.</v>
      </c>
    </row>
    <row r="34" spans="1:8" ht="37.5" customHeight="1" x14ac:dyDescent="0.55000000000000004">
      <c r="A34" s="63">
        <v>23</v>
      </c>
      <c r="B34" s="126" t="s">
        <v>715</v>
      </c>
      <c r="C34" s="127" t="s">
        <v>716</v>
      </c>
      <c r="D34" s="131">
        <f>IFERROR((INDEX('3_Balance_Sheet'!C95:N95,1,LatestAudCol)+INDEX('3_Balance_Sheet'!C97:N97,1,LatestAudCol)+INDEX('3_Balance_Sheet'!C98:N98,1,LatestAudCol))/INDEX('3_Balance_Sheet'!C52:N52,1,LatestAudCol),0)</f>
        <v>0</v>
      </c>
      <c r="E34" s="129" t="s">
        <v>717</v>
      </c>
      <c r="F34" s="130" t="str">
        <f>IF(IFERROR((INDEX('3_Balance_Sheet'!C95:N95,1,LatestAudCol)+INDEX('3_Balance_Sheet'!C97:N97,1,LatestAudCol)+INDEX('3_Balance_Sheet'!C98:N98,1,LatestAudCol))/INDEX('3_Balance_Sheet'!C52:N52,1,LatestAudCol),0)&gt;0.1,"⚠ HIGH","✓ OK")</f>
        <v>✓ OK</v>
      </c>
      <c r="G34" s="96" t="str">
        <f>IF((INDEX('3_Balance_Sheet'!C95:N95,1,LatestAudCol)+INDEX('3_Balance_Sheet'!C97:N97,1,LatestAudCol)+INDEX('3_Balance_Sheet'!C98:N98,1,LatestAudCol))&lt;=0,"No related-party loans/advances.",IF(IFERROR((INDEX('3_Balance_Sheet'!C95:N95,1,LatestAudCol)+INDEX('3_Balance_Sheet'!C97:N97,1,LatestAudCol)+INDEX('3_Balance_Sheet'!C98:N98,1,LatestAudCol))/INDEX('3_Balance_Sheet'!C52:N52,1,LatestAudCol),0)&gt;0.1,"Sizeable related-party advances. Possible diversion. Get specific list, interest rate, and recoverability assessment.","Related-party advances minimal."))</f>
        <v>No related-party loans/advances.</v>
      </c>
    </row>
    <row r="35" spans="1:8" ht="18" customHeight="1" x14ac:dyDescent="0.55000000000000004">
      <c r="A35" s="319" t="s">
        <v>718</v>
      </c>
      <c r="B35" s="319"/>
      <c r="C35" s="319"/>
      <c r="D35" s="319"/>
      <c r="E35" s="319"/>
      <c r="F35" s="319"/>
      <c r="G35" s="319"/>
    </row>
    <row r="36" spans="1:8" ht="37.5" customHeight="1" x14ac:dyDescent="0.55000000000000004">
      <c r="A36" s="63">
        <v>24</v>
      </c>
      <c r="B36" s="126" t="s">
        <v>719</v>
      </c>
      <c r="C36" s="127" t="s">
        <v>720</v>
      </c>
      <c r="D36" s="131">
        <f>IFERROR(INDEX('6_Working_Capital'!C12:N12,1,LatestAudCol)/INDEX('6_Working_Capital'!C7:N7,1,LatestAudCol),0)</f>
        <v>0</v>
      </c>
      <c r="E36" s="129" t="s">
        <v>721</v>
      </c>
      <c r="F36" s="130" t="str">
        <f>IF(IFERROR(INDEX('6_Working_Capital'!C12:N12,1,LatestAudCol)/INDEX('6_Working_Capital'!C7:N7,1,LatestAudCol),0)&gt;0.75,"⚠ HIGH","✓ OK")</f>
        <v>✓ OK</v>
      </c>
      <c r="G36" s="96" t="str">
        <f>IF(IFERROR(INDEX('6_Working_Capital'!C12:N12,1,LatestAudCol)/INDEX('6_Working_Capital'!C7:N7,1,LatestAudCol),0)&gt;0.75,"ABF as % of TCA suggests over-reliance on bank finance for WC. Test if borrower can sustain operating cycle with reduced bank dependence.","WC funding mix balanced.")</f>
        <v>WC funding mix balanced.</v>
      </c>
    </row>
    <row r="37" spans="1:8" ht="37.5" customHeight="1" x14ac:dyDescent="0.55000000000000004">
      <c r="A37" s="63">
        <v>25</v>
      </c>
      <c r="B37" s="126" t="s">
        <v>722</v>
      </c>
      <c r="C37" s="127" t="s">
        <v>723</v>
      </c>
      <c r="D37" s="131">
        <f>IFERROR(INDEX('6_Working_Capital'!C11:N11,1,LatestAudCol)/INDEX('6_Working_Capital'!C7:N7,1,LatestAudCol),0)</f>
        <v>0</v>
      </c>
      <c r="E37" s="129" t="s">
        <v>724</v>
      </c>
      <c r="F37" s="130" t="str">
        <f>IF(IFERROR(INDEX('6_Working_Capital'!C11:N11,1,LatestAudCol)/INDEX('6_Working_Capital'!C7:N7,1,LatestAudCol),0)&lt;0.25,"⚠ BREACH","✓ OK")</f>
        <v>⚠ BREACH</v>
      </c>
      <c r="G37" s="96" t="str">
        <f>IF(IFERROR(INDEX('6_Working_Capital'!C11:N11,1,LatestAudCol)/INDEX('6_Working_Capital'!C7:N7,1,LatestAudCol),0)&lt;0.25,"NWC below 25% of TCA — Tandon II norm breach. Borrower has insufficient margin contribution to WC. Require fresh equity / promoter contribution.","NWC margin meets Tandon norm.")</f>
        <v>NWC below 25% of TCA — Tandon II norm breach. Borrower has insufficient margin contribution to WC. Require fresh equity / promoter contribution.</v>
      </c>
    </row>
    <row r="38" spans="1:8" ht="18" customHeight="1" x14ac:dyDescent="0.55000000000000004">
      <c r="A38" s="319" t="s">
        <v>725</v>
      </c>
      <c r="B38" s="319"/>
      <c r="C38" s="319"/>
      <c r="D38" s="319"/>
      <c r="E38" s="319"/>
      <c r="F38" s="319"/>
      <c r="G38" s="319"/>
    </row>
    <row r="39" spans="1:8" ht="37.5" customHeight="1" x14ac:dyDescent="0.55000000000000004">
      <c r="A39" s="63">
        <v>26</v>
      </c>
      <c r="B39" s="126" t="s">
        <v>726</v>
      </c>
      <c r="C39" s="127" t="s">
        <v>727</v>
      </c>
      <c r="D39" s="131">
        <f>IFERROR(INDEX('3_Balance_Sheet'!C96:N96,1,LatestAudCol)/INDEX('3_Balance_Sheet'!C82:N82,1,LatestAudCol),0)</f>
        <v>0</v>
      </c>
      <c r="E39" s="129" t="s">
        <v>728</v>
      </c>
      <c r="F39" s="130" t="str">
        <f>IF(IFERROR(INDEX('3_Balance_Sheet'!C96:N96,1,LatestAudCol)/INDEX('3_Balance_Sheet'!C82:N82,1,LatestAudCol),0)&gt;0.05,"⚠ HIGH","✓ OK")</f>
        <v>✓ OK</v>
      </c>
      <c r="G39" s="96" t="str">
        <f>IF(INDEX('3_Balance_Sheet'!C96:N96,1,LatestAudCol)&lt;=0,"No receivables aged &gt;6 months.",IF(IFERROR(INDEX('3_Balance_Sheet'!C96:N96,1,LatestAudCol)/INDEX('3_Balance_Sheet'!C82:N82,1,LatestAudCol),0)&gt;0.05,"Material receivables aged over 6 months. Likely needs provisioning. Get age-wise receivable list and recovery action plan.","Aged receivables within tolerance."))</f>
        <v>No receivables aged &gt;6 months.</v>
      </c>
    </row>
    <row r="40" spans="1:8" ht="37.5" customHeight="1" x14ac:dyDescent="0.55000000000000004">
      <c r="A40" s="63">
        <v>27</v>
      </c>
      <c r="B40" s="126" t="s">
        <v>729</v>
      </c>
      <c r="C40" s="127" t="s">
        <v>730</v>
      </c>
      <c r="D40" s="128">
        <f>INDEX('3_Balance_Sheet'!C17:N17,1,LatestAudCol)</f>
        <v>0</v>
      </c>
      <c r="E40" s="129" t="s">
        <v>731</v>
      </c>
      <c r="F40" s="130" t="str">
        <f>IF(AND(INDEX('2_Operating_Statement'!C54:N54,1,LatestAudCol)&gt;1,INDEX('3_Balance_Sheet'!C17:N17,1,LatestAudCol)&lt;=0),"⚠ ANOMALY","✓ OK")</f>
        <v>✓ OK</v>
      </c>
      <c r="G40" s="96" t="str">
        <f>IF(AND(INDEX('2_Operating_Statement'!C54:N54,1,LatestAudCol)&gt;1,INDEX('3_Balance_Sheet'!C17:N17,1,LatestAudCol)&lt;=0),"Profitable year but no tax provision shown. Check if MAT/AMT applicable, b/f losses, or under-provisioning.","Tax provisioning consistent with PBT.")</f>
        <v>Tax provisioning consistent with PBT.</v>
      </c>
    </row>
    <row r="41" spans="1:8" ht="37.5" customHeight="1" x14ac:dyDescent="0.55000000000000004">
      <c r="A41" s="63">
        <v>28</v>
      </c>
      <c r="B41" s="126" t="s">
        <v>732</v>
      </c>
      <c r="C41" s="127" t="s">
        <v>733</v>
      </c>
      <c r="D41" s="131">
        <f>IFERROR((INDEX('3_Balance_Sheet'!C55:N55,1,LatestAudCol)+INDEX('3_Balance_Sheet'!C57:N57,1,LatestAudCol))/INDEX('2_Operating_Statement'!C13:N13,1,LatestAudCol),0)</f>
        <v>0</v>
      </c>
      <c r="E41" s="129" t="s">
        <v>734</v>
      </c>
      <c r="F41" s="130" t="str">
        <f>IF(IFERROR((INDEX('3_Balance_Sheet'!C55:N55,1,LatestAudCol)+INDEX('3_Balance_Sheet'!C57:N57,1,LatestAudCol))/INDEX('2_Operating_Statement'!C13:N13,1,LatestAudCol),0)&lt;0.01,"⚠ LOW","✓ OK")</f>
        <v>⚠ LOW</v>
      </c>
      <c r="G41" s="96" t="str">
        <f>IF(IFERROR((INDEX('3_Balance_Sheet'!C55:N55,1,LatestAudCol)+INDEX('3_Balance_Sheet'!C57:N57,1,LatestAudCol))/INDEX('2_Operating_Statement'!C13:N13,1,LatestAudCol),0)&lt;0.01,"Cash buffer is very thin (&lt;1% of revenue). Borrower may rely heavily on rolling drawdowns. Stress-test for any liquidity disruption.","Cash buffer adequate.")</f>
        <v>Cash buffer is very thin (&lt;1% of revenue). Borrower may rely heavily on rolling drawdowns. Stress-test for any liquidity disruption.</v>
      </c>
    </row>
    <row r="42" spans="1:8" ht="18" customHeight="1" x14ac:dyDescent="0.55000000000000004">
      <c r="A42" s="319" t="s">
        <v>735</v>
      </c>
      <c r="B42" s="319"/>
      <c r="C42" s="319"/>
      <c r="D42" s="319"/>
      <c r="E42" s="319"/>
      <c r="F42" s="319"/>
      <c r="G42" s="319"/>
    </row>
    <row r="43" spans="1:8" ht="37.5" customHeight="1" x14ac:dyDescent="0.55000000000000004">
      <c r="A43" s="63">
        <v>29</v>
      </c>
      <c r="B43" s="126" t="s">
        <v>736</v>
      </c>
      <c r="C43" s="127" t="s">
        <v>737</v>
      </c>
      <c r="D43" s="131">
        <f>IFERROR(INDEX('3_Balance_Sheet'!C87:N87,1,LatestAudCol)/INDEX('3_Balance_Sheet'!C84:N84,1,LatestAudCol),0)</f>
        <v>0</v>
      </c>
      <c r="E43" s="129" t="s">
        <v>738</v>
      </c>
      <c r="F43" s="130" t="str">
        <f>IF(INDEX('3_Balance_Sheet'!C84:N84,1,LatestAudCol)&lt;=0,"✓ N/A",IF(IFERROR(INDEX('3_Balance_Sheet'!C87:N87,1,LatestAudCol)/INDEX('3_Balance_Sheet'!C84:N84,1,LatestAudCol),0)&lt;0.3,"⚠ AGED","✓ OK"))</f>
        <v>✓ N/A</v>
      </c>
      <c r="G43" s="96" t="str">
        <f>IF(INDEX('3_Balance_Sheet'!C84:N84,1,LatestAudCol)&lt;=0,"No fixed assets.",IF(IFERROR(INDEX('3_Balance_Sheet'!C87:N87,1,LatestAudCol)/INDEX('3_Balance_Sheet'!C84:N84,1,LatestAudCol),0)&lt;0.3,"Net Block to Gross Block ratio low — assets are heavily depreciated. Anticipate near-term replacement capex; confirm sinking fund / TL plan.","Asset base reasonably young."))</f>
        <v>No fixed assets.</v>
      </c>
    </row>
    <row r="44" spans="1:8" ht="37.5" customHeight="1" x14ac:dyDescent="0.55000000000000004">
      <c r="A44" s="63">
        <v>30</v>
      </c>
      <c r="B44" s="126" t="s">
        <v>739</v>
      </c>
      <c r="C44" s="127" t="s">
        <v>740</v>
      </c>
      <c r="D44" s="132">
        <f>IFERROR(INDEX('3_Balance_Sheet'!C87:N87,1,LatestAudCol)/INDEX('3_Balance_Sheet'!C39:N39,1,LatestAudCol),0)</f>
        <v>0</v>
      </c>
      <c r="E44" s="129" t="s">
        <v>741</v>
      </c>
      <c r="F44" s="130" t="str">
        <f>IF(INDEX('3_Balance_Sheet'!C39:N39,1,LatestAudCol)&lt;=0,"✓ NO TL",IF(IFERROR(INDEX('3_Balance_Sheet'!C87:N87,1,LatestAudCol)/INDEX('3_Balance_Sheet'!C39:N39,1,LatestAudCol),0)&lt;MinFACR,"⚠ BREACH","✓ OK"))</f>
        <v>✓ NO TL</v>
      </c>
      <c r="G44" s="96" t="str">
        <f>IF(INDEX('3_Balance_Sheet'!C39:N39,1,LatestAudCol)&lt;=0,"No long-term debt outstanding.",IF(IFERROR(INDEX('3_Balance_Sheet'!C87:N87,1,LatestAudCol)/INDEX('3_Balance_Sheet'!C39:N39,1,LatestAudCol),0)&lt;MinFACR,"FACR below threshold. Asset coverage for term loans inadequate. Either accelerate repayment or seek additional collateral.","Asset cover for TL adequate."))</f>
        <v>No long-term debt outstanding.</v>
      </c>
    </row>
    <row r="46" spans="1:8" ht="18" customHeight="1" x14ac:dyDescent="0.55000000000000004">
      <c r="A46" s="9" t="s">
        <v>742</v>
      </c>
      <c r="B46" s="9"/>
      <c r="C46" s="9"/>
      <c r="D46" s="9"/>
      <c r="E46" s="9"/>
      <c r="F46" s="9"/>
      <c r="G46" s="9"/>
      <c r="H46" s="9"/>
    </row>
    <row r="47" spans="1:8" ht="49.5" customHeight="1" x14ac:dyDescent="0.55000000000000004">
      <c r="A47" s="134">
        <v>31</v>
      </c>
      <c r="B47" s="135" t="s">
        <v>743</v>
      </c>
      <c r="C47" s="118" t="s">
        <v>744</v>
      </c>
      <c r="D47" s="136">
        <f>IF(ProjectFinance="Yes",IF(ProjectPhase="Under-Construction",IF(ProjectSector="Commercial Real Estate",1.25,1),0),0)</f>
        <v>0</v>
      </c>
      <c r="E47" s="21" t="s">
        <v>745</v>
      </c>
      <c r="F47" s="22" t="str">
        <f>IF(AND(ProjectFinance="Yes",ProjectPhase="Under-Construction",OR(ProjectSector="Infrastructure",ProjectSector="Commercial Real Estate")),"⚠ REG REQUIREMENT","✓ N/A")</f>
        <v>✓ N/A</v>
      </c>
      <c r="G47" s="32" t="str">
        <f>IF(AND(ProjectFinance="Yes",ProjectPhase="Under-Construction",ProjectSector="Commercial Real Estate"),"Standard asset provisioning at elevated 1.25% for under-construction CRE (RBI Project Finance Directions 2025). Ensure pricing fully incorporates increased capital consumption + step-ups for DCCO delays.",IF(AND(ProjectFinance="Yes",ProjectPhase="Under-Construction",ProjectSector="Infrastructure"),"Standard asset provisioning at elevated 1.00% for under-construction infrastructure projects. Provisioning steps up if DCCO is delayed. Verify pricing matrix incorporates increased capital cost.","Not a project finance facility OR project is operational. Standard 0.40% provisioning applies."))</f>
        <v>Not a project finance facility OR project is operational. Standard 0.40% provisioning applies.</v>
      </c>
    </row>
    <row r="48" spans="1:8" ht="49.5" customHeight="1" x14ac:dyDescent="0.55000000000000004">
      <c r="A48" s="134">
        <v>32</v>
      </c>
      <c r="B48" s="135" t="s">
        <v>746</v>
      </c>
      <c r="C48" s="118" t="s">
        <v>747</v>
      </c>
      <c r="D48" s="137" t="str">
        <f>IF(AND(ProjectFinance="Yes",ProjectPhase="Under-Construction"),IF(DCCO_Year="","DCCO Not Set",DCCO_Year-FirstFY),"N/A")</f>
        <v>N/A</v>
      </c>
      <c r="E48" s="21" t="s">
        <v>748</v>
      </c>
      <c r="F48" s="22" t="str">
        <f>IF(AND(ProjectFinance="Yes",ProjectPhase="Under-Construction"),"⚠ INFO","✓ N/A")</f>
        <v>✓ N/A</v>
      </c>
      <c r="G48" s="32" t="str">
        <f>IF(AND(ProjectFinance="Yes",ProjectPhase="Under-Construction"),"Greenfield projects have zero cash flows during construction. DSCR breach alerts (Test 12, 13) are advisory only during construction phase. Activate covenant from DCCO year onwards. Validate via Construction Period Interest moratorium / DSRA arrangement.","Project is operational or not a project finance facility — standard DSCR covenants apply.")</f>
        <v>Project is operational or not a project finance facility — standard DSCR covenants apply.</v>
      </c>
    </row>
    <row r="49" spans="1:8" ht="15" customHeight="1" x14ac:dyDescent="0.55000000000000004">
      <c r="B49" s="49"/>
      <c r="D49" s="108"/>
    </row>
    <row r="50" spans="1:8" ht="18" customHeight="1" x14ac:dyDescent="0.55000000000000004">
      <c r="A50" s="8" t="s">
        <v>749</v>
      </c>
      <c r="B50" s="8"/>
      <c r="C50" s="8"/>
      <c r="D50" s="8"/>
      <c r="E50" s="8"/>
      <c r="F50" s="8"/>
      <c r="G50" s="8"/>
      <c r="H50" s="8"/>
    </row>
    <row r="51" spans="1:8" ht="21.75" customHeight="1" x14ac:dyDescent="0.55000000000000004">
      <c r="B51" s="24" t="s">
        <v>750</v>
      </c>
      <c r="D51" s="138">
        <f>COUNTIF(F6:F48,"⚠*")</f>
        <v>7</v>
      </c>
    </row>
    <row r="52" spans="1:8" ht="21.75" customHeight="1" x14ac:dyDescent="0.55000000000000004">
      <c r="B52" s="24" t="s">
        <v>751</v>
      </c>
      <c r="D52" s="139">
        <f>COUNTIF(F6:F48,"✓*")</f>
        <v>25</v>
      </c>
    </row>
    <row r="53" spans="1:8" ht="21.75" customHeight="1" x14ac:dyDescent="0.55000000000000004">
      <c r="B53" s="24" t="s">
        <v>752</v>
      </c>
      <c r="D53" s="47">
        <f>32-COUNTIF(F6:F48,"⚠*")</f>
        <v>25</v>
      </c>
    </row>
    <row r="54" spans="1:8" ht="25.5" customHeight="1" x14ac:dyDescent="0.55000000000000004">
      <c r="B54" s="24" t="s">
        <v>753</v>
      </c>
      <c r="D54" s="140" t="str">
        <f>IF(COUNTIF(F6:F48,"⚠*")=0,"NO MATERIAL RED FLAGS",IF(COUNTIF(F6:F48,"⚠*")&lt;=3,"MINOR CONCERNS — ADDRESS IN COVENANTS",IF(COUNTIF(F6:F48,"⚠*")&lt;=7,"MULTIPLE CONCERNS — DEEP DIVE NEEDED","MATERIAL CREDIT CONCERNS — RECONSIDER PROPOSAL")))</f>
        <v>MULTIPLE CONCERNS — DEEP DIVE NEEDED</v>
      </c>
    </row>
  </sheetData>
  <mergeCells count="14">
    <mergeCell ref="A38:G38"/>
    <mergeCell ref="A42:G42"/>
    <mergeCell ref="A46:H46"/>
    <mergeCell ref="A50:H50"/>
    <mergeCell ref="A18:G18"/>
    <mergeCell ref="A22:G22"/>
    <mergeCell ref="A27:G27"/>
    <mergeCell ref="A31:G31"/>
    <mergeCell ref="A35:G35"/>
    <mergeCell ref="A1:H1"/>
    <mergeCell ref="A2:H2"/>
    <mergeCell ref="A5:G5"/>
    <mergeCell ref="A10:G10"/>
    <mergeCell ref="A14:G14"/>
  </mergeCells>
  <conditionalFormatting sqref="F6:F44">
    <cfRule type="expression" dxfId="1" priority="2">
      <formula>LEFT(F6,1)="⚠"</formula>
    </cfRule>
    <cfRule type="expression" dxfId="0" priority="3">
      <formula>LEFT(F6,1)="✓"</formula>
    </cfRule>
  </conditionalFormatting>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2"/>
  <sheetViews>
    <sheetView zoomScaleNormal="100" workbookViewId="0">
      <selection sqref="A1:H1"/>
    </sheetView>
  </sheetViews>
  <sheetFormatPr defaultColWidth="8.68359375" defaultRowHeight="14.4" x14ac:dyDescent="0.55000000000000004"/>
  <cols>
    <col min="1" max="1" width="4" customWidth="1"/>
    <col min="2" max="2" width="30" customWidth="1"/>
    <col min="3" max="3" width="14" customWidth="1"/>
    <col min="4" max="4" width="12" customWidth="1"/>
    <col min="5" max="5" width="15" customWidth="1"/>
    <col min="6" max="6" width="30" customWidth="1"/>
    <col min="7" max="7" width="26" customWidth="1"/>
    <col min="8" max="8" width="4" customWidth="1"/>
  </cols>
  <sheetData>
    <row r="1" spans="1:8" ht="31.5" customHeight="1" x14ac:dyDescent="0.55000000000000004">
      <c r="A1" s="320" t="s">
        <v>754</v>
      </c>
      <c r="B1" s="320"/>
      <c r="C1" s="320"/>
      <c r="D1" s="320"/>
      <c r="E1" s="320"/>
      <c r="F1" s="320"/>
      <c r="G1" s="320"/>
      <c r="H1" s="320"/>
    </row>
    <row r="2" spans="1:8" ht="19.5" customHeight="1" x14ac:dyDescent="0.55000000000000004">
      <c r="A2" s="321" t="str">
        <f>IF(BorrowerName="","Borrower: [Not Set]","Borrower: "&amp;BorrowerName)&amp;"  |  Each test includes: risk explanation, probable cause, banker action"</f>
        <v>Borrower: [Not Set]  |  Each test includes: risk explanation, probable cause, banker action</v>
      </c>
      <c r="B2" s="321"/>
      <c r="C2" s="321"/>
      <c r="D2" s="321"/>
      <c r="E2" s="321"/>
      <c r="F2" s="321"/>
      <c r="G2" s="321"/>
      <c r="H2" s="321"/>
    </row>
    <row r="3" spans="1:8" ht="15.75" customHeight="1" x14ac:dyDescent="0.55000000000000004">
      <c r="B3" s="17" t="s">
        <v>755</v>
      </c>
      <c r="C3" s="17" t="s">
        <v>756</v>
      </c>
      <c r="D3" s="17" t="s">
        <v>5</v>
      </c>
      <c r="E3" s="17" t="s">
        <v>6</v>
      </c>
      <c r="F3" s="17" t="s">
        <v>757</v>
      </c>
      <c r="G3" s="17" t="s">
        <v>758</v>
      </c>
    </row>
    <row r="4" spans="1:8" ht="19.5" customHeight="1" x14ac:dyDescent="0.55000000000000004">
      <c r="B4" s="38" t="s">
        <v>759</v>
      </c>
      <c r="C4" s="141">
        <f>IFERROR(IF((INDEX('3_Balance_Sheet'!C59:N59,1,PriorAudCol)+INDEX('3_Balance_Sheet'!C60:N60,1,PriorAudCol))&gt;0,((INDEX('3_Balance_Sheet'!C59:N59,1,LatestAudCol)+INDEX('3_Balance_Sheet'!C60:N60,1,LatestAudCol))/(INDEX('3_Balance_Sheet'!C59:N59,1,PriorAudCol)+INDEX('3_Balance_Sheet'!C60:N60,1,PriorAudCol)))-1,0),0)</f>
        <v>0</v>
      </c>
      <c r="D4" s="142" t="s">
        <v>760</v>
      </c>
      <c r="E4" s="22" t="s">
        <v>198</v>
      </c>
      <c r="F4" s="143" t="s">
        <v>761</v>
      </c>
      <c r="G4" s="28" t="s">
        <v>762</v>
      </c>
    </row>
    <row r="5" spans="1:8" ht="6" customHeight="1" x14ac:dyDescent="0.55000000000000004"/>
    <row r="6" spans="1:8" ht="19.5" customHeight="1" x14ac:dyDescent="0.55000000000000004">
      <c r="B6" s="38" t="s">
        <v>763</v>
      </c>
      <c r="C6" s="141">
        <f>IFERROR(IF(INDEX('2_Operating_Statement'!C13:N13,1,PriorAudCol)&gt;0,(INDEX('3_Balance_Sheet'!C73:N73,1,LatestAudCol)/INDEX('3_Balance_Sheet'!C73:N73,1,PriorAudCol)-1)/(INDEX('2_Operating_Statement'!C13:N13,1,LatestAudCol)/INDEX('2_Operating_Statement'!C13:N13,1,PriorAudCol)-1+0.001),0),0)</f>
        <v>0</v>
      </c>
      <c r="D6" s="142" t="s">
        <v>764</v>
      </c>
      <c r="E6" s="144" t="str">
        <f>IFERROR(IF(AND(INDEX('3_Balance_Sheet'!C73:N73,1,PriorAudCol)&gt;0,INDEX('2_Operating_Statement'!C13:N13,1,PriorAudCol)&gt;0,(INDEX('3_Balance_Sheet'!C73:N73,1,LatestAudCol)/INDEX('3_Balance_Sheet'!C73:N73,1,PriorAudCol)-1)&gt;2*(INDEX('2_Operating_Statement'!C13:N13,1,LatestAudCol)/INDEX('2_Operating_Statement'!C13:N13,1,PriorAudCol)-1+0.001)),"⚠ MISMATCH","✓ OK"),"—")</f>
        <v>—</v>
      </c>
      <c r="F6" s="143" t="s">
        <v>765</v>
      </c>
      <c r="G6" s="28" t="s">
        <v>766</v>
      </c>
    </row>
    <row r="7" spans="1:8" ht="6" customHeight="1" x14ac:dyDescent="0.55000000000000004"/>
    <row r="8" spans="1:8" ht="19.5" customHeight="1" x14ac:dyDescent="0.55000000000000004">
      <c r="B8" s="38" t="s">
        <v>767</v>
      </c>
      <c r="C8" s="141">
        <f>IFERROR(INDEX('2_Operating_Statement'!C58:N58,1,LatestAudCol),0)</f>
        <v>0</v>
      </c>
      <c r="D8" s="142" t="s">
        <v>768</v>
      </c>
      <c r="E8" s="22" t="s">
        <v>1847</v>
      </c>
      <c r="F8" s="143" t="s">
        <v>769</v>
      </c>
      <c r="G8" s="28" t="s">
        <v>770</v>
      </c>
    </row>
    <row r="9" spans="1:8" ht="6" customHeight="1" x14ac:dyDescent="0.55000000000000004"/>
    <row r="10" spans="1:8" ht="19.5" customHeight="1" x14ac:dyDescent="0.55000000000000004">
      <c r="B10" s="38" t="s">
        <v>771</v>
      </c>
      <c r="C10" s="141">
        <f>IFERROR(IF((INDEX('2_Operating_Statement'!C33:N33,1,PriorAudCol)+INDEX('2_Operating_Statement'!C24:N24,1,PriorAudCol))&gt;0,(INDEX('2_Operating_Statement'!C33:N33,1,LatestAudCol)+INDEX('2_Operating_Statement'!C24:N24,1,LatestAudCol))/(INDEX('2_Operating_Statement'!C33:N33,1,PriorAudCol)+INDEX('2_Operating_Statement'!C24:N24,1,PriorAudCol))-1,0),0)</f>
        <v>0</v>
      </c>
      <c r="D10" s="142" t="s">
        <v>772</v>
      </c>
      <c r="E10" s="22" t="s">
        <v>198</v>
      </c>
      <c r="F10" s="143" t="s">
        <v>773</v>
      </c>
      <c r="G10" s="28" t="s">
        <v>774</v>
      </c>
    </row>
    <row r="11" spans="1:8" ht="6" customHeight="1" x14ac:dyDescent="0.55000000000000004"/>
    <row r="12" spans="1:8" ht="19.5" customHeight="1" x14ac:dyDescent="0.55000000000000004">
      <c r="B12" s="38" t="s">
        <v>775</v>
      </c>
      <c r="C12" s="141">
        <f>IFERROR(IF(INDEX('3_Balance_Sheet'!C39:N39,1,PriorAudCol)&gt;0,INDEX('3_Balance_Sheet'!C39:N39,1,LatestAudCol)/INDEX('3_Balance_Sheet'!C39:N39,1,PriorAudCol)-1,IF(INDEX('3_Balance_Sheet'!C39:N39,1,LatestAudCol)&gt;0,1,0)),0)</f>
        <v>0</v>
      </c>
      <c r="D12" s="142" t="s">
        <v>776</v>
      </c>
      <c r="E12" s="144" t="str">
        <f>IFERROR(IF(AND(INDEX('3_Balance_Sheet'!C39:N39,1,PriorAudCol)&gt;0,INDEX('3_Balance_Sheet'!C39:N39,1,LatestAudCol)/INDEX('3_Balance_Sheet'!C39:N39,1,PriorAudCol)-1&gt;0.5),"⚠ LEVERAGE SURGE","✓ OK"),"—")</f>
        <v>—</v>
      </c>
      <c r="F12" s="143" t="s">
        <v>777</v>
      </c>
      <c r="G12" s="28" t="s">
        <v>778</v>
      </c>
    </row>
    <row r="13" spans="1:8" ht="6" customHeight="1" x14ac:dyDescent="0.55000000000000004"/>
    <row r="14" spans="1:8" ht="19.5" customHeight="1" x14ac:dyDescent="0.55000000000000004">
      <c r="B14" s="38" t="s">
        <v>779</v>
      </c>
      <c r="C14" s="141">
        <f>IFERROR(INDEX('3_Balance_Sheet'!C11:N11,1,LatestAudCol)/IF(INDEX('3_Balance_Sheet'!C82:N82,1,LatestAudCol)=0,1,INDEX('3_Balance_Sheet'!C82:N82,1,LatestAudCol)),0)</f>
        <v>0</v>
      </c>
      <c r="D14" s="142" t="s">
        <v>780</v>
      </c>
      <c r="E14" s="22" t="str">
        <f>IFERROR(IF(INDEX('3_Balance_Sheet'!C11:N11,1,LatestAudCol)&gt;0.6*INDEX('3_Balance_Sheet'!C82:N82,1,LatestAudCol),"⚠ POSSIBLE DIVERSION","✓ OK"),"—")</f>
        <v>✓ OK</v>
      </c>
      <c r="F14" s="143" t="s">
        <v>781</v>
      </c>
      <c r="G14" s="28" t="s">
        <v>782</v>
      </c>
    </row>
    <row r="15" spans="1:8" ht="6" customHeight="1" x14ac:dyDescent="0.55000000000000004"/>
    <row r="16" spans="1:8" ht="19.5" customHeight="1" x14ac:dyDescent="0.55000000000000004">
      <c r="B16" s="38" t="s">
        <v>783</v>
      </c>
      <c r="C16" s="141">
        <f>IFERROR(IF((INDEX('3_Balance_Sheet'!C59:N59,1,LatestAudCol)+INDEX('3_Balance_Sheet'!C60:N60,1,LatestAudCol))&gt;0,INDEX('3_Balance_Sheet'!C96:N96,1,LatestAudCol)/(INDEX('3_Balance_Sheet'!C59:N59,1,LatestAudCol)+INDEX('3_Balance_Sheet'!C60:N60,1,LatestAudCol)),0),0)</f>
        <v>0</v>
      </c>
      <c r="D16" s="142" t="s">
        <v>784</v>
      </c>
      <c r="E16" s="144" t="str">
        <f>IFERROR(IF(AND((INDEX('3_Balance_Sheet'!C59:N59,1,LatestAudCol)+INDEX('3_Balance_Sheet'!C60:N60,1,LatestAudCol))&gt;0,INDEX('3_Balance_Sheet'!C96:N96,1,LatestAudCol)/(INDEX('3_Balance_Sheet'!C59:N59,1,LatestAudCol)+INDEX('3_Balance_Sheet'!C60:N60,1,LatestAudCol))&gt;0.15),"⚠ STALE DEBTORS","✓ OK"),"—")</f>
        <v>—</v>
      </c>
      <c r="F16" s="143" t="s">
        <v>785</v>
      </c>
      <c r="G16" s="28" t="s">
        <v>786</v>
      </c>
    </row>
    <row r="17" spans="1:8" ht="6" customHeight="1" x14ac:dyDescent="0.55000000000000004"/>
    <row r="18" spans="1:8" ht="19.5" customHeight="1" x14ac:dyDescent="0.55000000000000004">
      <c r="B18" s="38" t="s">
        <v>787</v>
      </c>
      <c r="C18" s="141">
        <f>IFERROR(IF(INDEX('2_Operating_Statement'!C13:N13,1,LatestAudCol)&gt;0,((INDEX('3_Balance_Sheet'!C34:N34,1,LatestAudCol)+INDEX('3_Balance_Sheet'!C35:N35,1,LatestAudCol))-(INDEX('3_Balance_Sheet'!C34:N34,1,PriorAudCol)+INDEX('3_Balance_Sheet'!C35:N35,1,PriorAudCol)))/INDEX('2_Operating_Statement'!C13:N13,1,LatestAudCol),0),0)</f>
        <v>0</v>
      </c>
      <c r="D18" s="142" t="s">
        <v>788</v>
      </c>
      <c r="E18" s="22" t="s">
        <v>198</v>
      </c>
      <c r="F18" s="143" t="s">
        <v>789</v>
      </c>
      <c r="G18" s="28" t="s">
        <v>790</v>
      </c>
    </row>
    <row r="19" spans="1:8" ht="6" customHeight="1" x14ac:dyDescent="0.55000000000000004"/>
    <row r="20" spans="1:8" ht="19.5" customHeight="1" x14ac:dyDescent="0.55000000000000004">
      <c r="B20" s="38" t="s">
        <v>791</v>
      </c>
      <c r="C20" s="141">
        <f>IFERROR(IF(INDEX('2_Operating_Statement'!C13:N13,1,PriorAudCol)&gt;0,(INDEX('2_Operating_Statement'!C13:N13,1,LatestAudCol)/INDEX('2_Operating_Statement'!C13:N13,1,PriorAudCol))-1,0),0)</f>
        <v>0</v>
      </c>
      <c r="D20" s="142" t="s">
        <v>792</v>
      </c>
      <c r="E20" s="22" t="s">
        <v>198</v>
      </c>
      <c r="F20" s="143" t="s">
        <v>793</v>
      </c>
      <c r="G20" s="28" t="s">
        <v>794</v>
      </c>
    </row>
    <row r="21" spans="1:8" ht="6" customHeight="1" x14ac:dyDescent="0.55000000000000004"/>
    <row r="22" spans="1:8" ht="19.5" customHeight="1" x14ac:dyDescent="0.55000000000000004">
      <c r="B22" s="38" t="s">
        <v>795</v>
      </c>
      <c r="C22" s="141">
        <f>IFERROR(INDEX('2_Operating_Statement'!C13:N13,1,LastProjCol)/INDEX('2_Operating_Statement'!C13:N13,1,LatestAudCol),1)^(1/MAX(1,LastProjCol-LatestAudCol))-1</f>
        <v>0</v>
      </c>
      <c r="D22" s="142" t="s">
        <v>796</v>
      </c>
      <c r="E22" s="144" t="str">
        <f>IFERROR(IF(AND(INDEX('2_Operating_Statement'!C13:N13,1,LastProjCol)&gt;0,INDEX('2_Operating_Statement'!C13:N13,1,LatestAudCol)&gt;0,INDEX('2_Operating_Statement'!C13:N13,1,1)&gt;0,(INDEX('2_Operating_Statement'!C13:N13,1,LastProjCol)/INDEX('2_Operating_Statement'!C13:N13,1,LatestAudCol))^(1/MAX(1,LastProjCol-LatestAudCol))-1&gt;2*((INDEX('2_Operating_Statement'!C13:N13,1,LatestAudCol)/INDEX('2_Operating_Statement'!C13:N13,1,1))^(1/MAX(1,LatestAudCol-1))-1)),"⚠ AGGRESSIVE PROJECTION","✓ REALISTIC"),"—")</f>
        <v>—</v>
      </c>
      <c r="F22" s="143" t="s">
        <v>797</v>
      </c>
      <c r="G22" s="28" t="s">
        <v>798</v>
      </c>
    </row>
    <row r="23" spans="1:8" ht="6" customHeight="1" x14ac:dyDescent="0.55000000000000004"/>
    <row r="24" spans="1:8" ht="19.5" customHeight="1" x14ac:dyDescent="0.55000000000000004">
      <c r="B24" s="38" t="s">
        <v>799</v>
      </c>
      <c r="C24" s="141">
        <f>IFERROR((INDEX('3_Balance_Sheet'!C11:N11,1,LatestAudCol)-INDEX('3_Balance_Sheet'!C11:N11,1,PriorAudCol))/IF(INDEX('3_Balance_Sheet'!C39:N39,1,PriorAudCol)=0,1,INDEX('3_Balance_Sheet'!C39:N39,1,PriorAudCol)),0)</f>
        <v>0</v>
      </c>
      <c r="D24" s="142" t="s">
        <v>800</v>
      </c>
      <c r="E24" s="144" t="str">
        <f>IFERROR(IF(AND(INDEX('3_Balance_Sheet'!C39:N39,1,PriorAudCol)&gt;INDEX('3_Balance_Sheet'!C39:N39,1,LatestAudCol),INDEX('3_Balance_Sheet'!C11:N11,1,LatestAudCol)&gt;INDEX('3_Balance_Sheet'!C11:N11,1,PriorAudCol),(INDEX('3_Balance_Sheet'!C11:N11,1,LatestAudCol)-INDEX('3_Balance_Sheet'!C11:N11,1,PriorAudCol))&gt;(INDEX('3_Balance_Sheet'!C39:N39,1,PriorAudCol)-INDEX('3_Balance_Sheet'!C39:N39,1,LatestAudCol))),"⚠ MATURITY MISMATCH","✓ OK"),"—")</f>
        <v>✓ OK</v>
      </c>
      <c r="F24" s="143" t="s">
        <v>801</v>
      </c>
      <c r="G24" s="28" t="s">
        <v>802</v>
      </c>
    </row>
    <row r="25" spans="1:8" ht="6" customHeight="1" x14ac:dyDescent="0.55000000000000004"/>
    <row r="26" spans="1:8" ht="19.5" customHeight="1" x14ac:dyDescent="0.55000000000000004">
      <c r="B26" s="38" t="s">
        <v>803</v>
      </c>
      <c r="C26" s="141">
        <f>IFERROR(IF(INDEX('4_DSCR'!C13:N13,1,LatestAudCol)&gt;0,INDEX('2_Operating_Statement'!C35:N35,1,LatestAudCol)/INDEX('4_DSCR'!C13:N13,1,LatestAudCol),0),0)</f>
        <v>0</v>
      </c>
      <c r="D26" s="142" t="s">
        <v>804</v>
      </c>
      <c r="E26" s="144" t="str">
        <f>IFERROR(IF(AND(INDEX('4_DSCR'!C13:N13,1,LatestAudCol)&gt;0,INDEX('2_Operating_Statement'!C35:N35,1,LatestAudCol)/INDEX('4_DSCR'!C13:N13,1,LatestAudCol)&gt;1.5),"⚠ INTEREST HEAVY","✓ OK"),"—")</f>
        <v>—</v>
      </c>
      <c r="F26" s="143" t="s">
        <v>805</v>
      </c>
      <c r="G26" s="28" t="s">
        <v>806</v>
      </c>
    </row>
    <row r="27" spans="1:8" ht="6" customHeight="1" x14ac:dyDescent="0.55000000000000004"/>
    <row r="28" spans="1:8" ht="19.5" customHeight="1" x14ac:dyDescent="0.55000000000000004">
      <c r="B28" s="38" t="s">
        <v>807</v>
      </c>
      <c r="C28" s="141">
        <f>IFERROR(IF(INDEX('3_Balance_Sheet'!C52:N52,1,LatestAudCol)&gt;0,(INDEX('3_Balance_Sheet'!C34:N34,1,LatestAudCol)+INDEX('3_Balance_Sheet'!C35:N35,1,LatestAudCol))/INDEX('3_Balance_Sheet'!C52:N52,1,LatestAudCol),0),0)</f>
        <v>0</v>
      </c>
      <c r="D28" s="142" t="s">
        <v>808</v>
      </c>
      <c r="E28" s="22" t="s">
        <v>198</v>
      </c>
      <c r="F28" s="143" t="s">
        <v>809</v>
      </c>
      <c r="G28" s="28" t="s">
        <v>810</v>
      </c>
    </row>
    <row r="29" spans="1:8" ht="6" customHeight="1" x14ac:dyDescent="0.55000000000000004"/>
    <row r="30" spans="1:8" ht="6" customHeight="1" x14ac:dyDescent="0.55000000000000004">
      <c r="A30" s="10"/>
      <c r="B30" s="10"/>
      <c r="C30" s="10"/>
      <c r="D30" s="10"/>
      <c r="E30" s="10"/>
      <c r="F30" s="10"/>
      <c r="G30" s="10"/>
      <c r="H30" s="10"/>
    </row>
    <row r="31" spans="1:8" ht="18" customHeight="1" x14ac:dyDescent="0.55000000000000004">
      <c r="B31" s="8" t="s">
        <v>811</v>
      </c>
      <c r="C31" s="8"/>
      <c r="D31" s="17" t="s">
        <v>812</v>
      </c>
      <c r="E31" s="17" t="s">
        <v>813</v>
      </c>
    </row>
    <row r="32" spans="1:8" ht="21.75" customHeight="1" x14ac:dyDescent="0.55000000000000004">
      <c r="D32" s="145">
        <f>COUNTIF(E4:E30,"⚠*")</f>
        <v>0</v>
      </c>
      <c r="E32" s="146">
        <f>COUNTIF(E4:E30,"✓*")</f>
        <v>3</v>
      </c>
    </row>
  </sheetData>
  <mergeCells count="4">
    <mergeCell ref="A1:H1"/>
    <mergeCell ref="A2:H2"/>
    <mergeCell ref="A30:H30"/>
    <mergeCell ref="B31:C3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966FF"/>
  </sheetPr>
  <dimension ref="A1:E15"/>
  <sheetViews>
    <sheetView zoomScaleNormal="100" workbookViewId="0">
      <selection sqref="A1:E1"/>
    </sheetView>
  </sheetViews>
  <sheetFormatPr defaultColWidth="8.68359375" defaultRowHeight="14.4" x14ac:dyDescent="0.55000000000000004"/>
  <cols>
    <col min="1" max="1" width="22" customWidth="1"/>
    <col min="2" max="2" width="30" customWidth="1"/>
    <col min="3" max="4" width="50" customWidth="1"/>
    <col min="5" max="5" width="45" customWidth="1"/>
  </cols>
  <sheetData>
    <row r="1" spans="1:5" ht="25.5" customHeight="1" x14ac:dyDescent="0.55000000000000004">
      <c r="A1" s="294" t="str">
        <f>CONCATENATE("AUTO-ANALYSIS  |  For / Against / Mitigants  |  ", BorrowerName)</f>
        <v xml:space="preserve">AUTO-ANALYSIS  |  For / Against / Mitigants  |  </v>
      </c>
      <c r="B1" s="294"/>
      <c r="C1" s="294"/>
      <c r="D1" s="294"/>
      <c r="E1" s="294"/>
    </row>
    <row r="2" spans="1:5" ht="15" customHeight="1" x14ac:dyDescent="0.55000000000000004">
      <c r="A2" s="295" t="s">
        <v>814</v>
      </c>
      <c r="B2" s="295"/>
      <c r="C2" s="295"/>
      <c r="D2" s="295"/>
      <c r="E2" s="295"/>
    </row>
    <row r="4" spans="1:5" ht="21.75" customHeight="1" x14ac:dyDescent="0.55000000000000004">
      <c r="A4" s="322" t="str">
        <f>CONCATENATE("PROPOSAL: ",ProposalType,"  |  Existing FB: ₹",TEXT(ExistingFB_WC+ExistingFB_TL,"0.00")," Cr  |  Proposed FB: ₹",TEXT(ProposedFB_WC+ProposedFB_TL,"0.00")," Cr  |  Industry: ",IndustryName)</f>
        <v xml:space="preserve">PROPOSAL:   |  Existing FB: ₹0.00 Cr  |  Proposed FB: ₹0.00 Cr  |  Industry: </v>
      </c>
      <c r="B4" s="322"/>
      <c r="C4" s="322"/>
      <c r="D4" s="322"/>
      <c r="E4" s="322"/>
    </row>
    <row r="6" spans="1:5" ht="30" customHeight="1" x14ac:dyDescent="0.55000000000000004">
      <c r="A6" s="110" t="s">
        <v>815</v>
      </c>
      <c r="B6" s="110" t="s">
        <v>816</v>
      </c>
      <c r="C6" s="110" t="s">
        <v>817</v>
      </c>
      <c r="D6" s="110" t="s">
        <v>818</v>
      </c>
      <c r="E6" s="110" t="s">
        <v>819</v>
      </c>
    </row>
    <row r="7" spans="1:5" ht="64.5" customHeight="1" x14ac:dyDescent="0.55000000000000004">
      <c r="A7" s="147" t="s">
        <v>820</v>
      </c>
      <c r="B7" s="148" t="str">
        <f>CONCATENATE("Net Sales: ₹",TEXT(INDEX('2_Operating_Statement'!C13:N13,1,LatestAudCol),"0.00")," Cr (Latest Aud); YoY: ",TEXT(IFERROR((INDEX('2_Operating_Statement'!C13:N13,1,LatestAudCol)-INDEX('2_Operating_Statement'!C13:N13,1,PriorAudCol))/INDEX('2_Operating_Statement'!C13:N13,1,PriorAudCol),0),"0.0%"))</f>
        <v>Net Sales: ₹0.00 Cr (Latest Aud); YoY: 0.0%</v>
      </c>
      <c r="C7" s="149" t="str">
        <f>IF(IFERROR((INDEX('2_Operating_Statement'!C13:N13,1,LatestAudCol)-INDEX('2_Operating_Statement'!C13:N13,1,PriorAudCol))/INDEX('2_Operating_Statement'!C13:N13,1,PriorAudCol),0)&gt;=0.1,"Healthy double-digit revenue expansion supports debt-servicing capacity and justifies the WC limit. Order book / industry tailwinds are visible.",IF(IFERROR((INDEX('2_Operating_Statement'!C13:N13,1,LatestAudCol)-INDEX('2_Operating_Statement'!C13:N13,1,PriorAudCol))/INDEX('2_Operating_Statement'!C13:N13,1,PriorAudCol),0)&gt;=0,"Modest topline growth indicates business stability. The borrower has weathered macro headwinds without contraction.","No supportive narrative — see Against."))</f>
        <v>Modest topline growth indicates business stability. The borrower has weathered macro headwinds without contraction.</v>
      </c>
      <c r="D7" s="149" t="str">
        <f>IF(IFERROR((INDEX('2_Operating_Statement'!C13:N13,1,LatestAudCol)-INDEX('2_Operating_Statement'!C13:N13,1,PriorAudCol))/INDEX('2_Operating_Statement'!C13:N13,1,PriorAudCol),0)&gt;0.5,"Sales spike &gt;50% YoY is unusual. Verify with GST 3B/9, sales register, e-way bills, and customer concentration. Risk of one-off contracts inflating base.",IF(IFERROR((INDEX('2_Operating_Statement'!C13:N13,1,LatestAudCol)-INDEX('2_Operating_Statement'!C13:N13,1,PriorAudCol))/INDEX('2_Operating_Statement'!C13:N13,1,PriorAudCol),0)&lt;MinSalesGrowth,"Material sales decline signals competitive pressure or volume loss. Examine market share, capacity utilisation, and downside scenarios.","No material concerns on growth trajectory."))</f>
        <v>No material concerns on growth trajectory.</v>
      </c>
      <c r="E7" s="149" t="str">
        <f>IF(IFERROR((INDEX('2_Operating_Statement'!C13:N13,1,LatestAudCol)-INDEX('2_Operating_Statement'!C13:N13,1,PriorAudCol))/INDEX('2_Operating_Statement'!C13:N13,1,PriorAudCol),0)&gt;0.5,"Trigger: 6-monthly sales-vs-projection covenant. Sub-limit on customer concentration. Quarterly stock &amp; receivables statement.",IF(IFERROR((INDEX('2_Operating_Statement'!C13:N13,1,LatestAudCol)-INDEX('2_Operating_Statement'!C13:N13,1,PriorAudCol))/INDEX('2_Operating_Statement'!C13:N13,1,PriorAudCol),0)&lt;MinSalesGrowth,"Sub-limit at 80% of MPBF until trajectory reverses. Half-yearly review. Restrict NFB issuance till H2 of next FY.","Standard quarterly stock &amp; book-debt statements."))</f>
        <v>Standard quarterly stock &amp; book-debt statements.</v>
      </c>
    </row>
    <row r="8" spans="1:5" ht="64.5" customHeight="1" x14ac:dyDescent="0.55000000000000004">
      <c r="A8" s="147" t="s">
        <v>821</v>
      </c>
      <c r="B8" s="148" t="str">
        <f>CONCATENATE("OPM: ",TEXT(IFERROR(INDEX('2_Operating_Statement'!C33:N33,1,LatestAudCol)/INDEX('2_Operating_Statement'!C13:N13,1,LatestAudCol),0),"0.0%"),"  |  PAT: ₹",TEXT(INDEX('2_Operating_Statement'!C58:N58,1,LatestAudCol),"0.00")," Cr")</f>
        <v>OPM: 0.0%  |  PAT: ₹0.00 Cr</v>
      </c>
      <c r="C8" s="149" t="str">
        <f>IF(INDEX('2_Operating_Statement'!C58:N58,1,LatestAudCol)&gt;0,CONCATENATE("Profitable in latest year (PAT ₹",TEXT(INDEX('2_Operating_Statement'!C58:N58,1,LatestAudCol),"0.00")," Cr). Operating margin of ",TEXT(IFERROR(INDEX('2_Operating_Statement'!C33:N33,1,LatestAudCol)/INDEX('2_Operating_Statement'!C13:N13,1,LatestAudCol),0),"0.0%")," demonstrates pricing power and cost discipline."),"No supportive narrative — operations are loss-making.")</f>
        <v>No supportive narrative — operations are loss-making.</v>
      </c>
      <c r="D8" s="149" t="str">
        <f>IF(INDEX('2_Operating_Statement'!C58:N58,1,LatestAudCol)&lt;=0,"PAT negative in latest audited year. Sustainability of operations questionable. Examine root cause — input costs, demand-supply, capacity utilisation.",IF(IFERROR(INDEX('2_Operating_Statement'!C33:N33,1,LatestAudCol)/INDEX('2_Operating_Statement'!C13:N13,1,LatestAudCol),0)-IFERROR(INDEX('2_Operating_Statement'!C33:N33,1,PriorAudCol)/INDEX('2_Operating_Statement'!C13:N13,1,PriorAudCol),0)&lt;-0.02,"OPM compressed &gt;200 bps YoY. Pressure points likely RM cost / power / labour. Test pass-through ability.","No material profitability concerns."))</f>
        <v>PAT negative in latest audited year. Sustainability of operations questionable. Examine root cause — input costs, demand-supply, capacity utilisation.</v>
      </c>
      <c r="E8" s="149" t="str">
        <f>IF(INDEX('2_Operating_Statement'!C58:N58,1,LatestAudCol)&lt;=0,"Mandatory: monthly MIS (P&amp;L + bank statement); restrict any related-party transactions; freeze further drawals beyond drawing power; consider stress-test pricing.",IF(IFERROR(INDEX('2_Operating_Statement'!C33:N33,1,LatestAudCol)/INDEX('2_Operating_Statement'!C13:N13,1,LatestAudCol),0)-IFERROR(INDEX('2_Operating_Statement'!C33:N33,1,PriorAudCol)/INDEX('2_Operating_Statement'!C13:N13,1,PriorAudCol),0)&lt;-0.02,"Quarterly margin review covenant. Trigger for limit reduction if margin slips further by 100 bps.","Standard monitoring."))</f>
        <v>Mandatory: monthly MIS (P&amp;L + bank statement); restrict any related-party transactions; freeze further drawals beyond drawing power; consider stress-test pricing.</v>
      </c>
    </row>
    <row r="9" spans="1:5" ht="64.5" customHeight="1" x14ac:dyDescent="0.55000000000000004">
      <c r="A9" s="147" t="s">
        <v>822</v>
      </c>
      <c r="B9" s="148" t="str">
        <f>CONCATENATE("TOL/TNW: ",TEXT(IFERROR(INDEX('3_Balance_Sheet'!C40:N40,1,LatestAudCol)/INDEX('3_Balance_Sheet'!C52:N52,1,LatestAudCol),0),"0.00x"),"  |  Debt/EBITDA: ",TEXT(IFERROR(INDEX('3_Balance_Sheet'!C39:N39,1,LatestAudCol)/(INDEX('2_Operating_Statement'!C33:N33,1,LatestAudCol)+INDEX('2_Operating_Statement'!C24:N24,1,LatestAudCol)),0),"0.00x"))</f>
        <v>TOL/TNW: 0.00x  |  Debt/EBITDA: 0.00x</v>
      </c>
      <c r="C9" s="149" t="str">
        <f>IF(AND(IFERROR(INDEX('3_Balance_Sheet'!C40:N40,1,LatestAudCol)/INDEX('3_Balance_Sheet'!C52:N52,1,LatestAudCol),0)&lt;=MaxTOLTNW*0.7,IFERROR(INDEX('3_Balance_Sheet'!C39:N39,1,LatestAudCol)/(INDEX('2_Operating_Statement'!C33:N33,1,LatestAudCol)+INDEX('2_Operating_Statement'!C24:N24,1,LatestAudCol)),0)&lt;=MaxLeverage*0.6),CONCATENATE("Comfortable leverage profile. TOL/TNW at ",TEXT(IFERROR(INDEX('3_Balance_Sheet'!C40:N40,1,LatestAudCol)/INDEX('3_Balance_Sheet'!C52:N52,1,LatestAudCol),0),"0.00x")," provides headroom for the proposed exposure. Borrower has demonstrated capacity to deleverage."),IF(IFERROR(INDEX('3_Balance_Sheet'!C40:N40,1,LatestAudCol)/INDEX('3_Balance_Sheet'!C52:N52,1,LatestAudCol),0)&lt;=MaxTOLTNW,"Leverage within tolerance band. No fresh equity infusion currently required.","No supportive narrative — see Against."))</f>
        <v>Comfortable leverage profile. TOL/TNW at 0.00x provides headroom for the proposed exposure. Borrower has demonstrated capacity to deleverage.</v>
      </c>
      <c r="D9" s="149" t="str">
        <f>IF(INDEX('3_Balance_Sheet'!C52:N52,1,LatestAudCol)&lt;=0,"TNW eroded — solvency at critical level. Cannot absorb the proposed exposure without fresh equity infusion. Material reservation.",IF(IFERROR(INDEX('3_Balance_Sheet'!C40:N40,1,LatestAudCol)/INDEX('3_Balance_Sheet'!C52:N52,1,LatestAudCol),0)&gt;MaxTOLTNW,CONCATENATE("TOL/TNW at ",TEXT(IFERROR(INDEX('3_Balance_Sheet'!C40:N40,1,LatestAudCol)/INDEX('3_Balance_Sheet'!C52:N52,1,LatestAudCol),0),"0.00x")," exceeds policy ceiling of ",TEXT(MaxTOLTNW,"0.00x"),". Quantify deleveraging path. Fresh equity / sub-debt may be needed."),"No leverage concerns."))</f>
        <v>TNW eroded — solvency at critical level. Cannot absorb the proposed exposure without fresh equity infusion. Material reservation.</v>
      </c>
      <c r="E9" s="149" t="str">
        <f>IF(INDEX('3_Balance_Sheet'!C52:N52,1,LatestAudCol)&lt;=0,"Pre-condition: fresh equity infusion of at least the gap. Subordination of all USLs. Half-yearly TNW covenant.",IF(IFERROR(INDEX('3_Balance_Sheet'!C40:N40,1,LatestAudCol)/INDEX('3_Balance_Sheet'!C52:N52,1,LatestAudCol),0)&gt;MaxTOLTNW,"TOL/TNW covenant tightened: must converge to MaxTOLTNW within 18 months. Subordinate all promoter loans. Restrict dividend till compliance.","Standard half-yearly leverage covenant."))</f>
        <v>Pre-condition: fresh equity infusion of at least the gap. Subordination of all USLs. Half-yearly TNW covenant.</v>
      </c>
    </row>
    <row r="10" spans="1:5" ht="64.5" customHeight="1" x14ac:dyDescent="0.55000000000000004">
      <c r="A10" s="147" t="s">
        <v>823</v>
      </c>
      <c r="B10" s="148" t="str">
        <f>CONCATENATE("CR: ",TEXT(IFERROR(INDEX('3_Balance_Sheet'!C82:N82,1,LatestAudCol)/INDEX('3_Balance_Sheet'!C27:N27,1,LatestAudCol),0),"0.00"),"  |  NWC: ₹",TEXT(INDEX('3_Balance_Sheet'!C82:N82,1,LatestAudCol)-INDEX('3_Balance_Sheet'!C27:N27,1,LatestAudCol),"0.00")," Cr  |  ABF: ₹",TEXT(INDEX('6_Working_Capital'!C12:N12,1,LatestAudCol),"0.00")," Cr")</f>
        <v>CR: 0.00  |  NWC: ₹0.00 Cr  |  ABF: ₹0.00 Cr</v>
      </c>
      <c r="C10" s="149" t="str">
        <f>IF(AND(IFERROR(INDEX('3_Balance_Sheet'!C82:N82,1,LatestAudCol)/INDEX('3_Balance_Sheet'!C27:N27,1,LatestAudCol),0)&gt;=MinCR,(INDEX('3_Balance_Sheet'!C82:N82,1,LatestAudCol)-INDEX('3_Balance_Sheet'!C27:N27,1,LatestAudCol))&gt;0),"Liquidity profile is sound. CR meets benchmark and NWC is positive — borrower can fund operating cycle without distress.","No supportive narrative — see Against.")</f>
        <v>No supportive narrative — see Against.</v>
      </c>
      <c r="D10" s="149" t="str">
        <f>IF(IFERROR(INDEX('3_Balance_Sheet'!C82:N82,1,LatestAudCol)/INDEX('3_Balance_Sheet'!C27:N27,1,LatestAudCol),0)&lt;MinCR,CONCATENATE("CR at ",TEXT(IFERROR(INDEX('3_Balance_Sheet'!C82:N82,1,LatestAudCol)/INDEX('3_Balance_Sheet'!C27:N27,1,LatestAudCol),0),"0.00")," below ",TEXT(MinCR,"0.00"),". Operating cycle stretched. STBB likely funding non-current uses — diversion risk."),IF(INDEX('6_Working_Capital'!C11:N11,1,LatestAudCol)/INDEX('6_Working_Capital'!C7:N7,1,LatestAudCol)&lt;0.25,"NWC margin below Tandon-II 25% norm. Borrower has insufficient long-term contribution to operating cycle.","No liquidity concerns."))</f>
        <v>CR at 0.00 below 1.17. Operating cycle stretched. STBB likely funding non-current uses — diversion risk.</v>
      </c>
      <c r="E10" s="149" t="str">
        <f>IF(IFERROR(INDEX('3_Balance_Sheet'!C82:N82,1,LatestAudCol)/INDEX('3_Balance_Sheet'!C27:N27,1,LatestAudCol),0)&lt;MinCR,"Quarterly stock-statement sub-limit enforcement. DP calculation strict (no relaxation in margins). Restrict adhoc beyond drawing power.",IF(INDEX('6_Working_Capital'!C11:N11,1,LatestAudCol)/INDEX('6_Working_Capital'!C7:N7,1,LatestAudCol)&lt;0.25,"Promoter contribution undertaking before further drawal. Reduce ABF until NWC norm met. Half-yearly compliance.","Standard MSOD / QIS submission."))</f>
        <v>Quarterly stock-statement sub-limit enforcement. DP calculation strict (no relaxation in margins). Restrict adhoc beyond drawing power.</v>
      </c>
    </row>
    <row r="11" spans="1:5" ht="64.5" customHeight="1" x14ac:dyDescent="0.55000000000000004">
      <c r="A11" s="147" t="s">
        <v>824</v>
      </c>
      <c r="B11" s="148" t="str">
        <f>CONCATENATE("ICR: ",TEXT(IFERROR(INDEX('2_Operating_Statement'!C33:N33,1,LatestAudCol)/INDEX('2_Operating_Statement'!C37:N37,1,LatestAudCol),0),"0.00x"),"  |  Avg DSCR: ",TEXT('4_DSCR'!C19,"0.00x"))</f>
        <v>ICR: 0.00x  |  Avg DSCR: 0.00x</v>
      </c>
      <c r="C11" s="149" t="str">
        <f>IF(AND(IFERROR(INDEX('2_Operating_Statement'!C33:N33,1,LatestAudCol)/INDEX('2_Operating_Statement'!C37:N37,1,LatestAudCol),0)&gt;=MinICR,'4_DSCR'!C19&gt;=MinDSCR_Avg),CONCATENATE("Healthy coverage. ICR at ",TEXT(IFERROR(INDEX('2_Operating_Statement'!C33:N33,1,LatestAudCol)/INDEX('2_Operating_Statement'!C37:N37,1,LatestAudCol),0),"0.00x")," and Avg DSCR at ",TEXT('4_DSCR'!C19,"0.00x")," indicate operations are generating ample cash to service total debt obligations."),"No supportive narrative — see Against.")</f>
        <v>No supportive narrative — see Against.</v>
      </c>
      <c r="D11" s="149" t="str">
        <f>IF(INDEX('2_Operating_Statement'!C37:N37,1,LatestAudCol)&lt;=0,"No interest in latest year — review debt mix and tenor.",IF(IFERROR(INDEX('2_Operating_Statement'!C33:N33,1,LatestAudCol)/INDEX('2_Operating_Statement'!C37:N37,1,LatestAudCol),0)&lt;MinICR,"ICR below benchmark — operations not generating sufficient cushion over interest. Risk of default rises in stress scenarios.",IF('4_DSCR'!C19&lt;MinDSCR_Avg,"Average DSCR weak — lifecycle servicing of TL inadequate. Rework repayment structure.","No coverage concerns.")))</f>
        <v>No interest in latest year — review debt mix and tenor.</v>
      </c>
      <c r="E11" s="149" t="str">
        <f>IF('4_DSCR'!C19&lt;MinDSCR_Avg,"DSRA equal to 1 quarterly TL instalment. Cash sweep on excess flows. Trigger for review at any DSCR breach.","Standard DSCR covenant in sanction.")</f>
        <v>DSRA equal to 1 quarterly TL instalment. Cash sweep on excess flows. Trigger for review at any DSCR breach.</v>
      </c>
    </row>
    <row r="12" spans="1:5" ht="64.5" customHeight="1" x14ac:dyDescent="0.55000000000000004">
      <c r="A12" s="147" t="s">
        <v>825</v>
      </c>
      <c r="B12" s="148" t="str">
        <f>CONCATENATE("Capex: ₹",TEXT(INDEX('3_Balance_Sheet'!C84:N84,1,LatestAudCol)-INDEX('3_Balance_Sheet'!C84:N84,1,PriorAudCol),"0.00")," Cr  |  LT funds raised: ₹",TEXT((INDEX('3_Balance_Sheet'!C52:N52,1,LatestAudCol)-INDEX('3_Balance_Sheet'!C52:N52,1,PriorAudCol))+(INDEX('3_Balance_Sheet'!C39:N39,1,LatestAudCol)-INDEX('3_Balance_Sheet'!C39:N39,1,PriorAudCol)),"0.00")," Cr")</f>
        <v>Capex: ₹0.00 Cr  |  LT funds raised: ₹0.00 Cr</v>
      </c>
      <c r="C12" s="149" t="str">
        <f>IF((INDEX('3_Balance_Sheet'!C84:N84,1,LatestAudCol)-INDEX('3_Balance_Sheet'!C84:N84,1,PriorAudCol))&lt;0.5,"No material capex in latest year. Funds Flow is clean — operations and WC funding aligned.",IF((INDEX('3_Balance_Sheet'!C84:N84,1,LatestAudCol)-INDEX('3_Balance_Sheet'!C84:N84,1,PriorAudCol))&lt;=(INDEX('3_Balance_Sheet'!C52:N52,1,LatestAudCol)-INDEX('3_Balance_Sheet'!C52:N52,1,PriorAudCol))+(INDEX('3_Balance_Sheet'!C39:N39,1,LatestAudCol)-INDEX('3_Balance_Sheet'!C39:N39,1,PriorAudCol)),"Capex matched with long-term sources (TNW + TTL). End-use compliance holds — no diversion of WC.","No supportive narrative — see Against."))</f>
        <v>No material capex in latest year. Funds Flow is clean — operations and WC funding aligned.</v>
      </c>
      <c r="D12" s="149" t="str">
        <f>IF((INDEX('3_Balance_Sheet'!C84:N84,1,LatestAudCol)-INDEX('3_Balance_Sheet'!C84:N84,1,PriorAudCol))&lt;0.5,"No capex concerns.",IF((INDEX('3_Balance_Sheet'!C84:N84,1,LatestAudCol)-INDEX('3_Balance_Sheet'!C84:N84,1,PriorAudCol))&gt;(INDEX('3_Balance_Sheet'!C52:N52,1,LatestAudCol)-INDEX('3_Balance_Sheet'!C52:N52,1,PriorAudCol))+(INDEX('3_Balance_Sheet'!C39:N39,1,LatestAudCol)-INDEX('3_Balance_Sheet'!C39:N39,1,PriorAudCol)),"CRITICAL: Capex appears partly funded from working capital. Quantify diversion. End-use compliance breached.","No funds-flow concerns."))</f>
        <v>No capex concerns.</v>
      </c>
      <c r="E12" s="149" t="str">
        <f>IF((INDEX('3_Balance_Sheet'!C84:N84,1,LatestAudCol)-INDEX('3_Balance_Sheet'!C84:N84,1,PriorAudCol))&gt;(INDEX('3_Balance_Sheet'!C52:N52,1,LatestAudCol)-INDEX('3_Balance_Sheet'!C52:N52,1,PriorAudCol))+(INDEX('3_Balance_Sheet'!C39:N39,1,LatestAudCol)-INDEX('3_Balance_Sheet'!C39:N39,1,PriorAudCol)),"Specific TL or promoter contribution to plug the gap. Stop-payment on WC limit until compliance restored. Half-yearly stock audit.","Standard end-use undertaking.")</f>
        <v>Standard end-use undertaking.</v>
      </c>
    </row>
    <row r="13" spans="1:5" ht="64.5" customHeight="1" x14ac:dyDescent="0.55000000000000004">
      <c r="A13" s="147" t="s">
        <v>826</v>
      </c>
      <c r="B13" s="148" t="str">
        <f>IFERROR(CONCATENATE("Outlook: ",VLOOKUP(IndustryName,Industry_Outlook!$A:$H,2,FALSE())),"Awaiting industry selection on Setup")</f>
        <v>Awaiting industry selection on Setup</v>
      </c>
      <c r="C13" s="149" t="str">
        <f>IFERROR(IF(OR(VLOOKUP(IndustryName,Industry_Outlook!$A:$H,2,FALSE())="Positive",VLOOKUP(IndustryName,Industry_Outlook!$A:$H,2,FALSE())="Stable to Positive"),VLOOKUP(IndustryName,Industry_Outlook!$A:$H,4,FALSE()),VLOOKUP(IndustryName,Industry_Outlook!$A:$H,3,FALSE())),"")</f>
        <v/>
      </c>
      <c r="D13" s="149" t="str">
        <f>IFERROR(VLOOKUP(IndustryName,Industry_Outlook!$A:$H,7,FALSE()),"")</f>
        <v/>
      </c>
      <c r="E13" s="149" t="str">
        <f>IFERROR(IF(OR(VLOOKUP(IndustryName,Industry_Outlook!$A:$H,2,FALSE())="Negative",VLOOKUP(IndustryName,Industry_Outlook!$A:$H,2,FALSE())="Cautious",LEFT(VLOOKUP(IndustryName,Industry_Outlook!$A:$H,2,FALSE()),7)="Adverse"),"Industry-specific covenants: monthly cash flow MIS; sub-limit on commodity exposure if applicable; quarterly Industry Risk Score review.","Standard industry monitoring under SBI MDS framework."),"")</f>
        <v/>
      </c>
    </row>
    <row r="14" spans="1:5" ht="64.5" customHeight="1" x14ac:dyDescent="0.55000000000000004">
      <c r="A14" s="147" t="s">
        <v>827</v>
      </c>
      <c r="B14" s="148" t="str">
        <f>CONCATENATE("Existing FB: ₹",TEXT(ExistingFB_WC+ExistingFB_TL,"0.00")," Cr  |  Proposed FB: ₹",TEXT(ProposedFB_WC+ProposedFB_TL,"0.00")," Cr")</f>
        <v>Existing FB: ₹0.00 Cr  |  Proposed FB: ₹0.00 Cr</v>
      </c>
      <c r="C14" s="149" t="str">
        <f>IF(ProposalType="Renewal at Existing Level","Renewal at existing levels — no incremental risk taken. Borrower has serviced limits over the prior year.",IF(ProposalType="Renewal with Reduction","Renewal with reduction signals risk-aware stance. Reduced exposure better aligned with current operating size.",IF(ProposalType="Enhancement","Enhancement justified by sales/asset growth (subject to underlying drivers reviewed in Theme 1).",IF(ProposalType="Greenfield Unit","Greenfield financing — risk-priced; tied to phased disbursement against milestones.",IF(ProposalType="Fresh Sanction","Fresh sanction — borrower onboarding; rating-based pricing applies.","")))))</f>
        <v/>
      </c>
      <c r="D14" s="149" t="str">
        <f>IF(ProposalType="Enhancement","Quantum of enhancement must align with MPBF computation; avoid gold-plating. Validate against assessed need.",IF(ProposalType="Greenfield Unit","Project execution risk; cost overruns; commissioning delay risk; off-take dependency.",IF(ProposalType="Fresh Sanction","First-time exposure — limited track record with bank. Higher spread justifiable.","No pricing concerns.")))</f>
        <v>No pricing concerns.</v>
      </c>
      <c r="E14" s="149" t="str">
        <f>IF(ProposalType="Greenfield Unit","Disbursement linked to milestones (civil, equipment, commissioning). Pre-COD interest in moratorium. DSRA + cash sweep post-COD. Sponsor undertaking.",IF(ProposalType="Fresh Sanction","Risk-based pricing; rating-linked spread reset annually; quarterly review for first 12 months.","Standard pricing tied to internal rating; reset at next renewal."))</f>
        <v>Standard pricing tied to internal rating; reset at next renewal.</v>
      </c>
    </row>
    <row r="15" spans="1:5" ht="60" customHeight="1" x14ac:dyDescent="0.55000000000000004">
      <c r="A15" s="30" t="s">
        <v>828</v>
      </c>
      <c r="B15" s="28" t="str">
        <f>CONCATENATE("Min closing: ₹",TEXT(MIN('18_13W_Cash_Flow'!C29:O29),"0.00")," Cr | Max funding need: ₹",TEXT(MAX('18_13W_Cash_Flow'!C30:O30),"0.00"),"  Cr")</f>
        <v>Min closing: ₹0.00 Cr | Max funding need: ₹0.00  Cr</v>
      </c>
      <c r="C15" s="32" t="str">
        <f>IF(MIN('18_13W_Cash_Flow'!C29:O29)&gt;=0,"13-week rolling cash flow projection demonstrates positive liquidity throughout the horizon. Borrower can self-fund operating cycle without dependence on additional bank drawdowns.","No supportive narrative — see Against.")</f>
        <v>13-week rolling cash flow projection demonstrates positive liquidity throughout the horizon. Borrower can self-fund operating cycle without dependence on additional bank drawdowns.</v>
      </c>
      <c r="D15" s="32" t="str">
        <f>IF(MIN('18_13W_Cash_Flow'!C29:O29)&lt;0,"AGAINST: Acute short-term liquidity deficit projected. Borrower relies heavily on rolling drawdowns. Existing working capital limits may be mathematically insufficient to bridge the projected cash conversion cycle. Material concern for sanction committee.","No 13-week liquidity concerns identified.")</f>
        <v>No 13-week liquidity concerns identified.</v>
      </c>
      <c r="E15" s="32" t="str">
        <f>IF(MIN('18_13W_Cash_Flow'!C29:O29)&lt;0,"Weekly cash flow MIS submission. DSRA equal to 4 weeks of operating outflows. Cash sweep arrangement on excess flows. Sub-limit for ad-hoc enhancements requires committee approval.","Standard monthly MSOD; quarterly cash flow review.")</f>
        <v>Standard monthly MSOD; quarterly cash flow review.</v>
      </c>
    </row>
  </sheetData>
  <mergeCells count="3">
    <mergeCell ref="A1:E1"/>
    <mergeCell ref="A2:E2"/>
    <mergeCell ref="A4:E4"/>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966FF"/>
  </sheetPr>
  <dimension ref="A1:B12"/>
  <sheetViews>
    <sheetView zoomScaleNormal="100" workbookViewId="0">
      <selection sqref="A1:B1"/>
    </sheetView>
  </sheetViews>
  <sheetFormatPr defaultColWidth="8.68359375" defaultRowHeight="14.4" x14ac:dyDescent="0.55000000000000004"/>
  <cols>
    <col min="1" max="1" width="32" customWidth="1"/>
    <col min="2" max="2" width="110" customWidth="1"/>
  </cols>
  <sheetData>
    <row r="1" spans="1:2" ht="25.5" customHeight="1" x14ac:dyDescent="0.55000000000000004">
      <c r="A1" s="294" t="str">
        <f>CONCATENATE("CREDIT JUSTIFICATION  |  ", BorrowerName, "  |  ", ProposalType)</f>
        <v xml:space="preserve">CREDIT JUSTIFICATION  |    |  </v>
      </c>
      <c r="B1" s="294"/>
    </row>
    <row r="2" spans="1:2" ht="15" customHeight="1" x14ac:dyDescent="0.55000000000000004">
      <c r="A2" s="295" t="s">
        <v>829</v>
      </c>
      <c r="B2" s="295"/>
    </row>
    <row r="4" spans="1:2" ht="75" customHeight="1" x14ac:dyDescent="0.55000000000000004">
      <c r="A4" s="150" t="s">
        <v>830</v>
      </c>
      <c r="B4" s="151" t="str">
        <f>CONCATENATE("M/s ",BorrowerName," (Customer ID: ",CustomerID,") is engaged in the ",IndustryName," segment, internally rated ",InternalRating," and externally rated ",ExternalRating,". The present proposal is for ",ProposalType,IF(ProposalType="Renewal at Existing Level"," at the existing aggregate FB sanction of ₹"&amp;TEXT(ExistingFB_WC+ExistingFB_TL,"0.00")&amp;" Cr.",IF(ProposalType="Renewal with Reduction"," with a reduction from ₹"&amp;TEXT(ExistingFB_WC+ExistingFB_TL,"0.00")&amp;" Cr to ₹"&amp;TEXT(ProposedFB_WC+ProposedFB_TL,"0.00")&amp;" Cr.",IF(ProposalType="Enhancement"," from ₹"&amp;TEXT(ExistingFB_WC+ExistingFB_TL,"0.00")&amp;" Cr to ₹"&amp;TEXT(ProposedFB_WC+ProposedFB_TL,"0.00")&amp;" Cr.",IF(ProposalType="Greenfield Unit"," for a greenfield unit with proposed FB exposure of ₹"&amp;TEXT(ProposedFB_WC+ProposedFB_TL,"0.00")&amp;" Cr.",IF(ProposalType="Fresh Sanction"," with proposed FB exposure of ₹"&amp;TEXT(ProposedFB_WC+ProposedFB_TL,"0.00")&amp;" Cr.",""))))))</f>
        <v xml:space="preserve">M/s  (Customer ID: ) is engaged in the  segment, internally rated  and externally rated . The present proposal is for </v>
      </c>
    </row>
    <row r="5" spans="1:2" ht="109.5" customHeight="1" x14ac:dyDescent="0.55000000000000004">
      <c r="A5" s="150" t="s">
        <v>831</v>
      </c>
      <c r="B5" s="151" t="str">
        <f>CONCATENATE("Net sales for the latest audited year stood at ₹",TEXT(INDEX('2_Operating_Statement'!C13:N13,1,LatestAudCol),"0.00")," Cr, representing a YoY ",IF(IFERROR((INDEX('2_Operating_Statement'!C13:N13,1,LatestAudCol)-INDEX('2_Operating_Statement'!C13:N13,1,PriorAudCol))/INDEX('2_Operating_Statement'!C13:N13,1,PriorAudCol),0)&gt;=0,"growth","decline")," of ",TEXT(ABS(IFERROR((INDEX('2_Operating_Statement'!C13:N13,1,LatestAudCol)-INDEX('2_Operating_Statement'!C13:N13,1,PriorAudCol))/INDEX('2_Operating_Statement'!C13:N13,1,PriorAudCol),0)),"0.0%"),IF(IFERROR((INDEX('2_Operating_Statement'!C13:N13,1,LatestAudCol)-INDEX('2_Operating_Statement'!C13:N13,1,PriorAudCol))/INDEX('2_Operating_Statement'!C13:N13,1,PriorAudCol),0)&gt;0.5,". This sharp jump warrants verification against GST returns, sales register, and customer concentration.",IF(IFERROR((INDEX('2_Operating_Statement'!C13:N13,1,LatestAudCol)-INDEX('2_Operating_Statement'!C13:N13,1,PriorAudCol))/INDEX('2_Operating_Statement'!C13:N13,1,PriorAudCol),0)&lt;MinSalesGrowth,". The decline reflects challenging market conditions; sustainability of revenue base needs to be reviewed.",". Trajectory is consistent with industry benchmarks."))," Operating margin held at ",TEXT(IFERROR(INDEX('2_Operating_Statement'!C33:N33,1,LatestAudCol)/INDEX('2_Operating_Statement'!C13:N13,1,LatestAudCol),0),"0.0%")," and PAT closed at ₹",TEXT(INDEX('2_Operating_Statement'!C58:N58,1,LatestAudCol),"0.00")," Cr.")</f>
        <v>Net sales for the latest audited year stood at ₹0.00 Cr, representing a YoY growth of 0.0%. Trajectory is consistent with industry benchmarks. Operating margin held at 0.0% and PAT closed at ₹0.00 Cr.</v>
      </c>
    </row>
    <row r="6" spans="1:2" ht="109.5" customHeight="1" x14ac:dyDescent="0.55000000000000004">
      <c r="A6" s="150" t="s">
        <v>832</v>
      </c>
      <c r="B6" s="151" t="str">
        <f>CONCATENATE("Liquidity is ",IF(IFERROR(INDEX('3_Balance_Sheet'!C82:N82,1,LatestAudCol)/INDEX('3_Balance_Sheet'!C27:N27,1,LatestAudCol),0)&gt;=MinCR,"adequate","stretched"),", with Current Ratio at ",TEXT(IFERROR(INDEX('3_Balance_Sheet'!C82:N82,1,LatestAudCol)/INDEX('3_Balance_Sheet'!C27:N27,1,LatestAudCol),0),"0.00")," against the policy minimum of ",TEXT(MinCR,"0.00"),". Net Working Capital stood at ₹",TEXT(INDEX('3_Balance_Sheet'!C82:N82,1,LatestAudCol)-INDEX('3_Balance_Sheet'!C27:N27,1,LatestAudCol),"0.00")," Cr",IF((INDEX('3_Balance_Sheet'!C82:N82,1,LatestAudCol)-INDEX('3_Balance_Sheet'!C27:N27,1,LatestAudCol))&lt;=0," — negative; the borrower currently does not have a positive operating cycle margin.",""),". Operating cycle days: Inventory ",TEXT(IFERROR(INDEX('3_Balance_Sheet'!C73:N73,1,LatestAudCol)*365/INDEX('2_Operating_Statement'!C13:N13,1,LatestAudCol),0),"0")," days; Receivables ",TEXT(IFERROR((INDEX('3_Balance_Sheet'!C59:N59,1,LatestAudCol)+INDEX('3_Balance_Sheet'!C60:N60,1,LatestAudCol))*365/INDEX('2_Operating_Statement'!C10:N10,1,LatestAudCol),0),"0")," days; Payables ",TEXT(IFERROR((INDEX('3_Balance_Sheet'!C14:N14,1,LatestAudCol)+INDEX('3_Balance_Sheet'!C15:N15,1,LatestAudCol))*365/(INDEX('2_Operating_Statement'!C17:N17,1,LatestAudCol)+INDEX('2_Operating_Statement'!C20:N20,1,LatestAudCol)),0),"0")," days.")</f>
        <v>Liquidity is stretched, with Current Ratio at 0.00 against the policy minimum of 1.17. Net Working Capital stood at ₹0.00 Cr — negative; the borrower currently does not have a positive operating cycle margin.. Operating cycle days: Inventory 0 days; Receivables 0 days; Payables 0 days.</v>
      </c>
    </row>
    <row r="7" spans="1:2" ht="109.5" customHeight="1" x14ac:dyDescent="0.55000000000000004">
      <c r="A7" s="150" t="s">
        <v>833</v>
      </c>
      <c r="B7" s="151" t="str">
        <f>CONCATENATE("TNW closed at ₹",TEXT(INDEX('3_Balance_Sheet'!C52:N52,1,LatestAudCol),"0.00")," Cr",IF(INDEX('3_Balance_Sheet'!C52:N52,1,LatestAudCol)&lt;=0," (eroded — critical concern requiring fresh equity)",""),". TOL/TNW at ",TEXT(IFERROR(INDEX('3_Balance_Sheet'!C40:N40,1,LatestAudCol)/INDEX('3_Balance_Sheet'!C52:N52,1,LatestAudCol),0),"0.00x"),IF(IFERROR(INDEX('3_Balance_Sheet'!C40:N40,1,LatestAudCol)/INDEX('3_Balance_Sheet'!C52:N52,1,LatestAudCol),0)&lt;=MaxTOLTNW," remains within the policy ceiling of "&amp;TEXT(MaxTOLTNW,"0.00x")&amp;"."," exceeds the policy ceiling of "&amp;TEXT(MaxTOLTNW,"0.00x")&amp;"; deleveraging plan needs articulation.")," Debt/EBITDA stands at ",TEXT(IFERROR(INDEX('3_Balance_Sheet'!C39:N39,1,LatestAudCol)/(INDEX('2_Operating_Statement'!C33:N33,1,LatestAudCol)+INDEX('2_Operating_Statement'!C24:N24,1,LatestAudCol)),0),"0.00x"),IF(IFERROR(INDEX('3_Balance_Sheet'!C39:N39,1,LatestAudCol)/(INDEX('2_Operating_Statement'!C33:N33,1,LatestAudCol)+INDEX('2_Operating_Statement'!C24:N24,1,LatestAudCol)),0)&lt;=MaxLeverage," — within tolerance."," — exceeds the "&amp;TEXT(MaxLeverage,"0.00x")&amp;" benchmark."))</f>
        <v>TNW closed at ₹0.00 Cr (eroded — critical concern requiring fresh equity). TOL/TNW at 0.00x remains within the policy ceiling of 4.00x. Debt/EBITDA stands at 0.00x — within tolerance.</v>
      </c>
    </row>
    <row r="8" spans="1:2" ht="79.5" customHeight="1" x14ac:dyDescent="0.55000000000000004">
      <c r="A8" s="150" t="s">
        <v>834</v>
      </c>
      <c r="B8" s="151" t="str">
        <f>CONCATENATE("Interest coverage stood at ",TEXT(IFERROR(INDEX('2_Operating_Statement'!C33:N33,1,LatestAudCol)/INDEX('2_Operating_Statement'!C37:N37,1,LatestAudCol),0),"0.00x"),IF(IFERROR(INDEX('2_Operating_Statement'!C33:N33,1,LatestAudCol)/INDEX('2_Operating_Statement'!C37:N37,1,LatestAudCol),0)&gt;=MinICR," — comfortably above"," — below")," the minimum benchmark of ",TEXT(MinICR,"0.00x"),". Average Gross DSCR over the projection period works out to ",TEXT('4_DSCR'!C19,"0.00x"),IF('4_DSCR'!C19&gt;=MinDSCR_Avg," — within the acceptable corridor of "&amp;TEXT(MinDSCR_Avg,"0.00x")&amp;"."," — short of the "&amp;TEXT(MinDSCR_Avg,"0.00x")&amp;" benchmark; structuring/sponsor support to be discussed."))</f>
        <v>Interest coverage stood at 0.00x — below the minimum benchmark of 1.50x. Average Gross DSCR over the projection period works out to 0.00x — short of the 1.50x benchmark; structuring/sponsor support to be discussed.</v>
      </c>
    </row>
    <row r="9" spans="1:2" ht="120" customHeight="1" x14ac:dyDescent="0.55000000000000004">
      <c r="A9" s="150" t="s">
        <v>835</v>
      </c>
      <c r="B9" s="151" t="str">
        <f>IFERROR(CONCATENATE("The ",IndustryName," sector outlook is ",VLOOKUP(IndustryName,Industry_Outlook!$A:$H,2,FALSE()),". ",VLOOKUP(IndustryName,Industry_Outlook!$A:$H,4,FALSE())," Key drivers: ",VLOOKUP(IndustryName,Industry_Outlook!$A:$H,6,FALSE())," Key risks to monitor: ",VLOOKUP(IndustryName,Industry_Outlook!$A:$H,7,FALSE())),"[Awaiting industry selection on the Setup sheet — once selected, this paragraph auto-populates with the latest sector outlook, drivers, and risks from the Industry Outlook database.]")</f>
        <v>[Awaiting industry selection on the Setup sheet — once selected, this paragraph auto-populates with the latest sector outlook, drivers, and risks from the Industry Outlook database.]</v>
      </c>
    </row>
    <row r="10" spans="1:2" ht="90" customHeight="1" x14ac:dyDescent="0.55000000000000004">
      <c r="A10" s="150" t="s">
        <v>836</v>
      </c>
      <c r="B10" s="151" t="str">
        <f>CONCATENATE("Of the 30 automated red-flag tests run on the financials, ",COUNTIF('12_Red_Flags'!F6:F100,"⚠*")," flagged for attention while ",COUNTIF('12_Red_Flags'!F6:F100,"✓*")," passed. ",IF(COUNTIF('12_Red_Flags'!F6:F100,"⚠*")=0,"No material red flags emerged; the credit profile is clean.",IF(COUNTIF('12_Red_Flags'!F6:F100,"⚠*")&lt;=3,"Concerns are minor and adequately addressed by standard covenants.",IF(COUNTIF('12_Red_Flags'!F6:F100,"⚠*")&lt;=7,"Multiple concerns require structured covenants and tighter monitoring (refer Sheet 13 for theme-wise mitigants).","Material credit concerns surfaced — proposal merits reconsideration or significant restructuring before sanction."))))</f>
        <v>Of the 30 automated red-flag tests run on the financials, 7 flagged for attention while 25 passed. Multiple concerns require structured covenants and tighter monitoring (refer Sheet 13 for theme-wise mitigants).</v>
      </c>
    </row>
    <row r="11" spans="1:2" ht="109.5" customHeight="1" x14ac:dyDescent="0.55000000000000004">
      <c r="A11" s="150" t="s">
        <v>837</v>
      </c>
      <c r="B11" s="151" t="str">
        <f>CONCATENATE("Based on the above analysis, the proposal for ",ProposalType,IF(COUNTIF('12_Red_Flags'!F6:F100,"⚠*")&lt;=3," is recommended for sanction subject to standard covenants and ",IF(COUNTIF('12_Red_Flags'!F6:F100,"⚠*")&lt;=7," may be considered for sanction with strengthened covenants and "," requires senior committee deliberation in light of the multiple flagged areas; before progressing the bank should secure ")),IF(ProposalType="Greenfield Unit","milestone-based disbursement linked to project completion, DSRA equivalent to 1 quarter of debt service, and sponsor undertaking for cost overruns.",IF(ProposalType="Enhancement","verification of incremental WC need against MPBF, end-use undertaking, and quarterly sales-vs-projection review.",IF(ProposalType="Renewal with Reduction","standard quarterly stock &amp; book-debt statement and half-yearly compliance certificate.","the standard covenants set out in the bank's policy framework, with quarterly review during the currency of the limits."))))</f>
        <v>Based on the above analysis, the proposal for  may be considered for sanction with strengthened covenants and the standard covenants set out in the bank's policy framework, with quarterly review during the currency of the limits.</v>
      </c>
    </row>
    <row r="12" spans="1:2" ht="39.75" customHeight="1" x14ac:dyDescent="0.55000000000000004">
      <c r="A12" s="150" t="s">
        <v>838</v>
      </c>
      <c r="B12" s="151" t="str">
        <f ca="1">CONCATENATE("Prepared by: _____________________  |  Date: ",TEXT(TODAY(),"DD-MMM-YYYY"),"   |   Reviewed by: _____________________   |   Approved by: _____________________")</f>
        <v>Prepared by: _____________________  |  Date: 08-May-2026   |   Reviewed by: _____________________   |   Approved by: _____________________</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95959"/>
  </sheetPr>
  <dimension ref="A1:H63"/>
  <sheetViews>
    <sheetView zoomScaleNormal="100" workbookViewId="0"/>
  </sheetViews>
  <sheetFormatPr defaultColWidth="8.68359375" defaultRowHeight="14.4" x14ac:dyDescent="0.55000000000000004"/>
  <cols>
    <col min="1" max="1" width="28" customWidth="1"/>
    <col min="2" max="8" width="50" customWidth="1"/>
  </cols>
  <sheetData>
    <row r="1" spans="1:8" ht="15" customHeight="1" x14ac:dyDescent="0.55000000000000004">
      <c r="A1" s="80" t="s">
        <v>839</v>
      </c>
      <c r="B1" s="80" t="s">
        <v>840</v>
      </c>
      <c r="C1" s="80" t="s">
        <v>841</v>
      </c>
      <c r="D1" s="80" t="s">
        <v>842</v>
      </c>
      <c r="E1" s="80" t="s">
        <v>843</v>
      </c>
      <c r="F1" s="80" t="s">
        <v>844</v>
      </c>
      <c r="G1" s="80" t="s">
        <v>845</v>
      </c>
      <c r="H1" s="80" t="s">
        <v>181</v>
      </c>
    </row>
    <row r="2" spans="1:8" ht="23.25" customHeight="1" x14ac:dyDescent="0.55000000000000004">
      <c r="A2" s="152" t="s">
        <v>846</v>
      </c>
      <c r="B2" s="152" t="s">
        <v>847</v>
      </c>
      <c r="C2" s="152" t="s">
        <v>848</v>
      </c>
      <c r="D2" s="152" t="s">
        <v>849</v>
      </c>
      <c r="E2" s="152" t="s">
        <v>850</v>
      </c>
      <c r="F2" s="152" t="s">
        <v>851</v>
      </c>
      <c r="G2" s="152" t="s">
        <v>852</v>
      </c>
      <c r="H2" s="152" t="s">
        <v>853</v>
      </c>
    </row>
    <row r="3" spans="1:8" ht="23.25" customHeight="1" x14ac:dyDescent="0.55000000000000004">
      <c r="A3" s="152" t="s">
        <v>854</v>
      </c>
      <c r="B3" s="152" t="s">
        <v>855</v>
      </c>
      <c r="C3" s="152" t="s">
        <v>856</v>
      </c>
      <c r="D3" s="152" t="s">
        <v>857</v>
      </c>
      <c r="E3" s="152" t="s">
        <v>858</v>
      </c>
      <c r="F3" s="152" t="s">
        <v>859</v>
      </c>
      <c r="G3" s="152" t="s">
        <v>860</v>
      </c>
      <c r="H3" s="152" t="s">
        <v>861</v>
      </c>
    </row>
    <row r="4" spans="1:8" ht="23.25" customHeight="1" x14ac:dyDescent="0.55000000000000004">
      <c r="A4" s="152" t="s">
        <v>862</v>
      </c>
      <c r="B4" s="152" t="s">
        <v>863</v>
      </c>
      <c r="C4" s="152" t="s">
        <v>864</v>
      </c>
      <c r="D4" s="152" t="s">
        <v>865</v>
      </c>
      <c r="E4" s="152" t="s">
        <v>866</v>
      </c>
      <c r="F4" s="152" t="s">
        <v>867</v>
      </c>
      <c r="G4" s="152" t="s">
        <v>868</v>
      </c>
      <c r="H4" s="152" t="s">
        <v>869</v>
      </c>
    </row>
    <row r="5" spans="1:8" ht="23.25" customHeight="1" x14ac:dyDescent="0.55000000000000004">
      <c r="A5" s="152" t="s">
        <v>870</v>
      </c>
      <c r="B5" s="152" t="s">
        <v>855</v>
      </c>
      <c r="C5" s="152" t="s">
        <v>871</v>
      </c>
      <c r="D5" s="152" t="s">
        <v>872</v>
      </c>
      <c r="E5" s="152" t="s">
        <v>873</v>
      </c>
      <c r="F5" s="152" t="s">
        <v>874</v>
      </c>
      <c r="G5" s="152" t="s">
        <v>875</v>
      </c>
      <c r="H5" s="152" t="s">
        <v>876</v>
      </c>
    </row>
    <row r="6" spans="1:8" ht="23.25" customHeight="1" x14ac:dyDescent="0.55000000000000004">
      <c r="A6" s="152" t="s">
        <v>877</v>
      </c>
      <c r="B6" s="152" t="s">
        <v>878</v>
      </c>
      <c r="C6" s="152" t="s">
        <v>879</v>
      </c>
      <c r="D6" s="152" t="s">
        <v>880</v>
      </c>
      <c r="E6" s="152" t="s">
        <v>881</v>
      </c>
      <c r="F6" s="152" t="s">
        <v>882</v>
      </c>
      <c r="G6" s="152" t="s">
        <v>883</v>
      </c>
      <c r="H6" s="152" t="s">
        <v>884</v>
      </c>
    </row>
    <row r="7" spans="1:8" ht="23.25" customHeight="1" x14ac:dyDescent="0.55000000000000004">
      <c r="A7" s="152" t="s">
        <v>885</v>
      </c>
      <c r="B7" s="152" t="s">
        <v>847</v>
      </c>
      <c r="C7" s="152" t="s">
        <v>886</v>
      </c>
      <c r="D7" s="152" t="s">
        <v>887</v>
      </c>
      <c r="E7" s="152" t="s">
        <v>888</v>
      </c>
      <c r="F7" s="152" t="s">
        <v>889</v>
      </c>
      <c r="G7" s="152" t="s">
        <v>890</v>
      </c>
      <c r="H7" s="152" t="s">
        <v>891</v>
      </c>
    </row>
    <row r="8" spans="1:8" ht="34.5" customHeight="1" x14ac:dyDescent="0.55000000000000004">
      <c r="A8" s="152" t="s">
        <v>892</v>
      </c>
      <c r="B8" s="152" t="s">
        <v>893</v>
      </c>
      <c r="C8" s="152" t="s">
        <v>894</v>
      </c>
      <c r="D8" s="152" t="s">
        <v>895</v>
      </c>
      <c r="E8" s="152" t="s">
        <v>896</v>
      </c>
      <c r="F8" s="152" t="s">
        <v>897</v>
      </c>
      <c r="G8" s="152" t="s">
        <v>898</v>
      </c>
      <c r="H8" s="152" t="s">
        <v>899</v>
      </c>
    </row>
    <row r="9" spans="1:8" ht="23.25" customHeight="1" x14ac:dyDescent="0.55000000000000004">
      <c r="A9" s="152" t="s">
        <v>900</v>
      </c>
      <c r="B9" s="152" t="s">
        <v>901</v>
      </c>
      <c r="C9" s="152" t="s">
        <v>902</v>
      </c>
      <c r="D9" s="152" t="s">
        <v>903</v>
      </c>
      <c r="E9" s="152" t="s">
        <v>904</v>
      </c>
      <c r="F9" s="152" t="s">
        <v>905</v>
      </c>
      <c r="G9" s="152" t="s">
        <v>906</v>
      </c>
      <c r="H9" s="152" t="s">
        <v>899</v>
      </c>
    </row>
    <row r="10" spans="1:8" ht="23.25" customHeight="1" x14ac:dyDescent="0.55000000000000004">
      <c r="A10" s="152" t="s">
        <v>907</v>
      </c>
      <c r="B10" s="152" t="s">
        <v>855</v>
      </c>
      <c r="C10" s="152" t="s">
        <v>908</v>
      </c>
      <c r="D10" s="152" t="s">
        <v>909</v>
      </c>
      <c r="E10" s="152" t="s">
        <v>910</v>
      </c>
      <c r="F10" s="152" t="s">
        <v>911</v>
      </c>
      <c r="G10" s="152" t="s">
        <v>912</v>
      </c>
      <c r="H10" s="152" t="s">
        <v>913</v>
      </c>
    </row>
    <row r="11" spans="1:8" ht="23.25" customHeight="1" x14ac:dyDescent="0.55000000000000004">
      <c r="A11" s="152" t="s">
        <v>914</v>
      </c>
      <c r="B11" s="152" t="s">
        <v>847</v>
      </c>
      <c r="C11" s="152" t="s">
        <v>915</v>
      </c>
      <c r="D11" s="152" t="s">
        <v>916</v>
      </c>
      <c r="E11" s="152" t="s">
        <v>917</v>
      </c>
      <c r="F11" s="152" t="s">
        <v>918</v>
      </c>
      <c r="G11" s="152" t="s">
        <v>919</v>
      </c>
      <c r="H11" s="152" t="s">
        <v>920</v>
      </c>
    </row>
    <row r="12" spans="1:8" ht="23.25" customHeight="1" x14ac:dyDescent="0.55000000000000004">
      <c r="A12" s="152" t="s">
        <v>921</v>
      </c>
      <c r="B12" s="152" t="s">
        <v>863</v>
      </c>
      <c r="C12" s="152" t="s">
        <v>922</v>
      </c>
      <c r="D12" s="152" t="s">
        <v>923</v>
      </c>
      <c r="E12" s="152" t="s">
        <v>924</v>
      </c>
      <c r="F12" s="152" t="s">
        <v>925</v>
      </c>
      <c r="G12" s="152" t="s">
        <v>926</v>
      </c>
      <c r="H12" s="152" t="s">
        <v>927</v>
      </c>
    </row>
    <row r="13" spans="1:8" ht="23.25" customHeight="1" x14ac:dyDescent="0.55000000000000004">
      <c r="A13" s="152" t="s">
        <v>928</v>
      </c>
      <c r="B13" s="152" t="s">
        <v>847</v>
      </c>
      <c r="C13" s="152" t="s">
        <v>929</v>
      </c>
      <c r="D13" s="152" t="s">
        <v>930</v>
      </c>
      <c r="E13" s="152" t="s">
        <v>931</v>
      </c>
      <c r="F13" s="152" t="s">
        <v>932</v>
      </c>
      <c r="G13" s="152" t="s">
        <v>933</v>
      </c>
      <c r="H13" s="152" t="s">
        <v>934</v>
      </c>
    </row>
    <row r="14" spans="1:8" ht="23.25" customHeight="1" x14ac:dyDescent="0.55000000000000004">
      <c r="A14" s="152" t="s">
        <v>935</v>
      </c>
      <c r="B14" s="152" t="s">
        <v>936</v>
      </c>
      <c r="C14" s="152" t="s">
        <v>937</v>
      </c>
      <c r="D14" s="152" t="s">
        <v>938</v>
      </c>
      <c r="E14" s="152" t="s">
        <v>939</v>
      </c>
      <c r="F14" s="152" t="s">
        <v>940</v>
      </c>
      <c r="G14" s="152" t="s">
        <v>941</v>
      </c>
      <c r="H14" s="152" t="s">
        <v>942</v>
      </c>
    </row>
    <row r="15" spans="1:8" ht="23.25" customHeight="1" x14ac:dyDescent="0.55000000000000004">
      <c r="A15" s="152" t="s">
        <v>943</v>
      </c>
      <c r="B15" s="152" t="s">
        <v>901</v>
      </c>
      <c r="C15" s="152" t="s">
        <v>944</v>
      </c>
      <c r="D15" s="152" t="s">
        <v>945</v>
      </c>
      <c r="E15" s="152" t="s">
        <v>946</v>
      </c>
      <c r="F15" s="152" t="s">
        <v>947</v>
      </c>
      <c r="G15" s="152" t="s">
        <v>948</v>
      </c>
      <c r="H15" s="152" t="s">
        <v>949</v>
      </c>
    </row>
    <row r="16" spans="1:8" ht="23.25" customHeight="1" x14ac:dyDescent="0.55000000000000004">
      <c r="A16" s="152" t="s">
        <v>950</v>
      </c>
      <c r="B16" s="152" t="s">
        <v>855</v>
      </c>
      <c r="C16" s="152" t="s">
        <v>951</v>
      </c>
      <c r="D16" s="152" t="s">
        <v>952</v>
      </c>
      <c r="E16" s="152" t="s">
        <v>953</v>
      </c>
      <c r="F16" s="152" t="s">
        <v>954</v>
      </c>
      <c r="G16" s="152" t="s">
        <v>955</v>
      </c>
      <c r="H16" s="152" t="s">
        <v>956</v>
      </c>
    </row>
    <row r="17" spans="1:8" ht="23.25" customHeight="1" x14ac:dyDescent="0.55000000000000004">
      <c r="A17" s="152" t="s">
        <v>957</v>
      </c>
      <c r="B17" s="152" t="s">
        <v>863</v>
      </c>
      <c r="C17" s="152" t="s">
        <v>958</v>
      </c>
      <c r="D17" s="152" t="s">
        <v>959</v>
      </c>
      <c r="E17" s="152" t="s">
        <v>960</v>
      </c>
      <c r="F17" s="152" t="s">
        <v>961</v>
      </c>
      <c r="G17" s="152" t="s">
        <v>962</v>
      </c>
      <c r="H17" s="152" t="s">
        <v>963</v>
      </c>
    </row>
    <row r="18" spans="1:8" ht="23.25" customHeight="1" x14ac:dyDescent="0.55000000000000004">
      <c r="A18" s="152" t="s">
        <v>964</v>
      </c>
      <c r="B18" s="152" t="s">
        <v>847</v>
      </c>
      <c r="C18" s="152" t="s">
        <v>965</v>
      </c>
      <c r="D18" s="152" t="s">
        <v>966</v>
      </c>
      <c r="E18" s="152" t="s">
        <v>967</v>
      </c>
      <c r="F18" s="152" t="s">
        <v>968</v>
      </c>
      <c r="G18" s="152" t="s">
        <v>969</v>
      </c>
      <c r="H18" s="152" t="s">
        <v>970</v>
      </c>
    </row>
    <row r="19" spans="1:8" ht="23.25" customHeight="1" x14ac:dyDescent="0.55000000000000004">
      <c r="A19" s="152" t="s">
        <v>971</v>
      </c>
      <c r="B19" s="152" t="s">
        <v>855</v>
      </c>
      <c r="C19" s="152" t="s">
        <v>972</v>
      </c>
      <c r="D19" s="152" t="s">
        <v>973</v>
      </c>
      <c r="E19" s="152" t="s">
        <v>974</v>
      </c>
      <c r="F19" s="152" t="s">
        <v>975</v>
      </c>
      <c r="G19" s="152" t="s">
        <v>976</v>
      </c>
      <c r="H19" s="152" t="s">
        <v>977</v>
      </c>
    </row>
    <row r="20" spans="1:8" ht="23.25" customHeight="1" x14ac:dyDescent="0.55000000000000004">
      <c r="A20" s="152" t="s">
        <v>978</v>
      </c>
      <c r="B20" s="152" t="s">
        <v>855</v>
      </c>
      <c r="C20" s="152" t="s">
        <v>979</v>
      </c>
      <c r="D20" s="152" t="s">
        <v>980</v>
      </c>
      <c r="E20" s="152" t="s">
        <v>981</v>
      </c>
      <c r="F20" s="152" t="s">
        <v>982</v>
      </c>
      <c r="G20" s="152" t="s">
        <v>983</v>
      </c>
      <c r="H20" s="152" t="s">
        <v>984</v>
      </c>
    </row>
    <row r="21" spans="1:8" ht="23.25" customHeight="1" x14ac:dyDescent="0.55000000000000004">
      <c r="A21" s="152" t="s">
        <v>985</v>
      </c>
      <c r="B21" s="152" t="s">
        <v>936</v>
      </c>
      <c r="C21" s="152" t="s">
        <v>986</v>
      </c>
      <c r="D21" s="152" t="s">
        <v>987</v>
      </c>
      <c r="E21" s="152" t="s">
        <v>988</v>
      </c>
      <c r="F21" s="152" t="s">
        <v>989</v>
      </c>
      <c r="G21" s="152" t="s">
        <v>990</v>
      </c>
      <c r="H21" s="152" t="s">
        <v>991</v>
      </c>
    </row>
    <row r="22" spans="1:8" ht="23.25" customHeight="1" x14ac:dyDescent="0.55000000000000004">
      <c r="A22" s="152" t="s">
        <v>992</v>
      </c>
      <c r="B22" s="152" t="s">
        <v>847</v>
      </c>
      <c r="C22" s="152" t="s">
        <v>993</v>
      </c>
      <c r="D22" s="152" t="s">
        <v>994</v>
      </c>
      <c r="E22" s="152" t="s">
        <v>995</v>
      </c>
      <c r="F22" s="152" t="s">
        <v>996</v>
      </c>
      <c r="G22" s="152" t="s">
        <v>997</v>
      </c>
      <c r="H22" s="152" t="s">
        <v>998</v>
      </c>
    </row>
    <row r="23" spans="1:8" ht="34.5" customHeight="1" x14ac:dyDescent="0.55000000000000004">
      <c r="A23" s="152" t="s">
        <v>999</v>
      </c>
      <c r="B23" s="152" t="s">
        <v>863</v>
      </c>
      <c r="C23" s="152" t="s">
        <v>1000</v>
      </c>
      <c r="D23" s="152" t="s">
        <v>1001</v>
      </c>
      <c r="E23" s="152" t="s">
        <v>1002</v>
      </c>
      <c r="F23" s="152" t="s">
        <v>1003</v>
      </c>
      <c r="G23" s="152" t="s">
        <v>1004</v>
      </c>
      <c r="H23" s="152" t="s">
        <v>1005</v>
      </c>
    </row>
    <row r="24" spans="1:8" ht="23.25" customHeight="1" x14ac:dyDescent="0.55000000000000004">
      <c r="A24" s="152" t="s">
        <v>1006</v>
      </c>
      <c r="B24" s="152" t="s">
        <v>1007</v>
      </c>
      <c r="C24" s="152" t="s">
        <v>1008</v>
      </c>
      <c r="D24" s="152" t="s">
        <v>1009</v>
      </c>
      <c r="E24" s="152" t="s">
        <v>1010</v>
      </c>
      <c r="F24" s="152" t="s">
        <v>1011</v>
      </c>
      <c r="G24" s="152" t="s">
        <v>1012</v>
      </c>
      <c r="H24" s="152" t="s">
        <v>1013</v>
      </c>
    </row>
    <row r="25" spans="1:8" ht="23.25" customHeight="1" x14ac:dyDescent="0.55000000000000004">
      <c r="A25" s="152" t="s">
        <v>1014</v>
      </c>
      <c r="B25" s="152" t="s">
        <v>855</v>
      </c>
      <c r="C25" s="152" t="s">
        <v>1015</v>
      </c>
      <c r="D25" s="152" t="s">
        <v>1016</v>
      </c>
      <c r="E25" s="152" t="s">
        <v>1017</v>
      </c>
      <c r="F25" s="152" t="s">
        <v>1018</v>
      </c>
      <c r="G25" s="152" t="s">
        <v>1019</v>
      </c>
      <c r="H25" s="152" t="s">
        <v>1020</v>
      </c>
    </row>
    <row r="26" spans="1:8" ht="23.25" customHeight="1" x14ac:dyDescent="0.55000000000000004">
      <c r="A26" s="152" t="s">
        <v>1021</v>
      </c>
      <c r="B26" s="152" t="s">
        <v>855</v>
      </c>
      <c r="C26" s="152" t="s">
        <v>1022</v>
      </c>
      <c r="D26" s="152" t="s">
        <v>1023</v>
      </c>
      <c r="E26" s="152" t="s">
        <v>1024</v>
      </c>
      <c r="F26" s="152" t="s">
        <v>1025</v>
      </c>
      <c r="G26" s="152" t="s">
        <v>1026</v>
      </c>
      <c r="H26" s="152" t="s">
        <v>1027</v>
      </c>
    </row>
    <row r="27" spans="1:8" ht="23.25" customHeight="1" x14ac:dyDescent="0.55000000000000004">
      <c r="A27" s="152" t="s">
        <v>1028</v>
      </c>
      <c r="B27" s="152" t="s">
        <v>1029</v>
      </c>
      <c r="C27" s="152" t="s">
        <v>1030</v>
      </c>
      <c r="D27" s="152" t="s">
        <v>1031</v>
      </c>
      <c r="E27" s="152" t="s">
        <v>1032</v>
      </c>
      <c r="F27" s="152" t="s">
        <v>1033</v>
      </c>
      <c r="G27" s="152" t="s">
        <v>1034</v>
      </c>
      <c r="H27" s="152" t="s">
        <v>1035</v>
      </c>
    </row>
    <row r="28" spans="1:8" ht="23.25" customHeight="1" x14ac:dyDescent="0.55000000000000004">
      <c r="A28" s="152" t="s">
        <v>1036</v>
      </c>
      <c r="B28" s="152" t="s">
        <v>863</v>
      </c>
      <c r="C28" s="152" t="s">
        <v>1037</v>
      </c>
      <c r="D28" s="152" t="s">
        <v>1038</v>
      </c>
      <c r="E28" s="152" t="s">
        <v>1039</v>
      </c>
      <c r="F28" s="152" t="s">
        <v>1040</v>
      </c>
      <c r="G28" s="152" t="s">
        <v>1041</v>
      </c>
      <c r="H28" s="152" t="s">
        <v>1042</v>
      </c>
    </row>
    <row r="29" spans="1:8" ht="23.25" customHeight="1" x14ac:dyDescent="0.55000000000000004">
      <c r="A29" s="152" t="s">
        <v>1043</v>
      </c>
      <c r="B29" s="152" t="s">
        <v>855</v>
      </c>
      <c r="C29" s="152" t="s">
        <v>1044</v>
      </c>
      <c r="D29" s="152" t="s">
        <v>1045</v>
      </c>
      <c r="E29" s="152" t="s">
        <v>1046</v>
      </c>
      <c r="F29" s="152" t="s">
        <v>1047</v>
      </c>
      <c r="G29" s="152" t="s">
        <v>1048</v>
      </c>
      <c r="H29" s="152" t="s">
        <v>1049</v>
      </c>
    </row>
    <row r="30" spans="1:8" ht="23.25" customHeight="1" x14ac:dyDescent="0.55000000000000004">
      <c r="A30" s="152" t="s">
        <v>1050</v>
      </c>
      <c r="B30" s="152" t="s">
        <v>855</v>
      </c>
      <c r="C30" s="152" t="s">
        <v>1051</v>
      </c>
      <c r="D30" s="152" t="s">
        <v>1052</v>
      </c>
      <c r="E30" s="152" t="s">
        <v>1053</v>
      </c>
      <c r="F30" s="152" t="s">
        <v>1054</v>
      </c>
      <c r="G30" s="152" t="s">
        <v>1055</v>
      </c>
      <c r="H30" s="152" t="s">
        <v>1056</v>
      </c>
    </row>
    <row r="31" spans="1:8" ht="23.25" customHeight="1" x14ac:dyDescent="0.55000000000000004">
      <c r="A31" s="152" t="s">
        <v>1057</v>
      </c>
      <c r="B31" s="152" t="s">
        <v>855</v>
      </c>
      <c r="C31" s="152" t="s">
        <v>1058</v>
      </c>
      <c r="D31" s="152" t="s">
        <v>1059</v>
      </c>
      <c r="E31" s="152" t="s">
        <v>1060</v>
      </c>
      <c r="F31" s="152" t="s">
        <v>1061</v>
      </c>
      <c r="G31" s="152" t="s">
        <v>1062</v>
      </c>
      <c r="H31" s="152" t="s">
        <v>1063</v>
      </c>
    </row>
    <row r="32" spans="1:8" ht="23.25" customHeight="1" x14ac:dyDescent="0.55000000000000004">
      <c r="A32" s="152" t="s">
        <v>1064</v>
      </c>
      <c r="B32" s="152" t="s">
        <v>901</v>
      </c>
      <c r="C32" s="152" t="s">
        <v>1065</v>
      </c>
      <c r="D32" s="152" t="s">
        <v>1066</v>
      </c>
      <c r="E32" s="152" t="s">
        <v>1067</v>
      </c>
      <c r="F32" s="152" t="s">
        <v>1068</v>
      </c>
      <c r="G32" s="152" t="s">
        <v>1069</v>
      </c>
      <c r="H32" s="152" t="s">
        <v>1070</v>
      </c>
    </row>
    <row r="33" spans="1:8" ht="23.25" customHeight="1" x14ac:dyDescent="0.55000000000000004">
      <c r="A33" s="152" t="s">
        <v>1071</v>
      </c>
      <c r="B33" s="152" t="s">
        <v>863</v>
      </c>
      <c r="C33" s="152" t="s">
        <v>1072</v>
      </c>
      <c r="D33" s="152" t="s">
        <v>1073</v>
      </c>
      <c r="E33" s="152" t="s">
        <v>1074</v>
      </c>
      <c r="F33" s="152" t="s">
        <v>1075</v>
      </c>
      <c r="G33" s="152" t="s">
        <v>1076</v>
      </c>
      <c r="H33" s="152" t="s">
        <v>1077</v>
      </c>
    </row>
    <row r="34" spans="1:8" ht="23.25" customHeight="1" x14ac:dyDescent="0.55000000000000004">
      <c r="A34" s="152" t="s">
        <v>1078</v>
      </c>
      <c r="B34" s="152" t="s">
        <v>855</v>
      </c>
      <c r="C34" s="152" t="s">
        <v>1079</v>
      </c>
      <c r="D34" s="152" t="s">
        <v>1080</v>
      </c>
      <c r="E34" s="152" t="s">
        <v>1081</v>
      </c>
      <c r="F34" s="152" t="s">
        <v>1082</v>
      </c>
      <c r="G34" s="152" t="s">
        <v>1083</v>
      </c>
      <c r="H34" s="152" t="s">
        <v>1084</v>
      </c>
    </row>
    <row r="35" spans="1:8" ht="23.25" customHeight="1" x14ac:dyDescent="0.55000000000000004">
      <c r="A35" s="152" t="s">
        <v>1085</v>
      </c>
      <c r="B35" s="152" t="s">
        <v>847</v>
      </c>
      <c r="C35" s="152" t="s">
        <v>1086</v>
      </c>
      <c r="D35" s="152" t="s">
        <v>1087</v>
      </c>
      <c r="E35" s="152" t="s">
        <v>1088</v>
      </c>
      <c r="F35" s="152" t="s">
        <v>1089</v>
      </c>
      <c r="G35" s="152" t="s">
        <v>1090</v>
      </c>
      <c r="H35" s="152" t="s">
        <v>1091</v>
      </c>
    </row>
    <row r="36" spans="1:8" ht="23.25" customHeight="1" x14ac:dyDescent="0.55000000000000004">
      <c r="A36" s="152" t="s">
        <v>1092</v>
      </c>
      <c r="B36" s="152" t="s">
        <v>847</v>
      </c>
      <c r="C36" s="152" t="s">
        <v>1093</v>
      </c>
      <c r="D36" s="152" t="s">
        <v>1094</v>
      </c>
      <c r="E36" s="152" t="s">
        <v>1095</v>
      </c>
      <c r="F36" s="152" t="s">
        <v>1096</v>
      </c>
      <c r="G36" s="152" t="s">
        <v>1097</v>
      </c>
      <c r="H36" s="152" t="s">
        <v>1098</v>
      </c>
    </row>
    <row r="37" spans="1:8" ht="23.25" customHeight="1" x14ac:dyDescent="0.55000000000000004">
      <c r="A37" s="152" t="s">
        <v>1099</v>
      </c>
      <c r="B37" s="152" t="s">
        <v>847</v>
      </c>
      <c r="C37" s="152" t="s">
        <v>1100</v>
      </c>
      <c r="D37" s="152" t="s">
        <v>1101</v>
      </c>
      <c r="E37" s="152" t="s">
        <v>1102</v>
      </c>
      <c r="F37" s="152" t="s">
        <v>1103</v>
      </c>
      <c r="G37" s="152" t="s">
        <v>1104</v>
      </c>
      <c r="H37" s="152" t="s">
        <v>1105</v>
      </c>
    </row>
    <row r="38" spans="1:8" ht="23.25" customHeight="1" x14ac:dyDescent="0.55000000000000004">
      <c r="A38" s="152" t="s">
        <v>1106</v>
      </c>
      <c r="B38" s="152" t="s">
        <v>863</v>
      </c>
      <c r="C38" s="152" t="s">
        <v>1107</v>
      </c>
      <c r="D38" s="152" t="s">
        <v>1108</v>
      </c>
      <c r="E38" s="152" t="s">
        <v>1109</v>
      </c>
      <c r="F38" s="152" t="s">
        <v>1110</v>
      </c>
      <c r="G38" s="152" t="s">
        <v>1111</v>
      </c>
      <c r="H38" s="152" t="s">
        <v>1112</v>
      </c>
    </row>
    <row r="39" spans="1:8" ht="23.25" customHeight="1" x14ac:dyDescent="0.55000000000000004">
      <c r="A39" s="152" t="s">
        <v>1113</v>
      </c>
      <c r="B39" s="152" t="s">
        <v>847</v>
      </c>
      <c r="C39" s="152" t="s">
        <v>1114</v>
      </c>
      <c r="D39" s="152" t="s">
        <v>1115</v>
      </c>
      <c r="E39" s="152" t="s">
        <v>1116</v>
      </c>
      <c r="F39" s="152" t="s">
        <v>1117</v>
      </c>
      <c r="G39" s="152" t="s">
        <v>1118</v>
      </c>
      <c r="H39" s="152" t="s">
        <v>1119</v>
      </c>
    </row>
    <row r="40" spans="1:8" ht="23.25" customHeight="1" x14ac:dyDescent="0.55000000000000004">
      <c r="A40" s="152" t="s">
        <v>1120</v>
      </c>
      <c r="B40" s="152" t="s">
        <v>855</v>
      </c>
      <c r="C40" s="152" t="s">
        <v>1121</v>
      </c>
      <c r="D40" s="152" t="s">
        <v>1122</v>
      </c>
      <c r="E40" s="152" t="s">
        <v>1123</v>
      </c>
      <c r="F40" s="152" t="s">
        <v>1124</v>
      </c>
      <c r="G40" s="152" t="s">
        <v>1125</v>
      </c>
      <c r="H40" s="152" t="s">
        <v>1126</v>
      </c>
    </row>
    <row r="41" spans="1:8" ht="23.25" customHeight="1" x14ac:dyDescent="0.55000000000000004">
      <c r="A41" s="152" t="s">
        <v>1127</v>
      </c>
      <c r="B41" s="152" t="s">
        <v>855</v>
      </c>
      <c r="C41" s="152" t="s">
        <v>1128</v>
      </c>
      <c r="D41" s="152" t="s">
        <v>1129</v>
      </c>
      <c r="E41" s="152" t="s">
        <v>1130</v>
      </c>
      <c r="F41" s="152" t="s">
        <v>1131</v>
      </c>
      <c r="G41" s="152" t="s">
        <v>1132</v>
      </c>
      <c r="H41" s="152" t="s">
        <v>1133</v>
      </c>
    </row>
    <row r="42" spans="1:8" ht="23.25" customHeight="1" x14ac:dyDescent="0.55000000000000004">
      <c r="A42" s="152" t="s">
        <v>1134</v>
      </c>
      <c r="B42" s="152" t="s">
        <v>855</v>
      </c>
      <c r="C42" s="152" t="s">
        <v>1135</v>
      </c>
      <c r="D42" s="152" t="s">
        <v>1136</v>
      </c>
      <c r="E42" s="152" t="s">
        <v>1137</v>
      </c>
      <c r="F42" s="152" t="s">
        <v>1138</v>
      </c>
      <c r="G42" s="152" t="s">
        <v>1139</v>
      </c>
      <c r="H42" s="152" t="s">
        <v>1140</v>
      </c>
    </row>
    <row r="43" spans="1:8" ht="23.25" customHeight="1" x14ac:dyDescent="0.55000000000000004">
      <c r="A43" s="152" t="s">
        <v>1141</v>
      </c>
      <c r="B43" s="152" t="s">
        <v>855</v>
      </c>
      <c r="C43" s="152" t="s">
        <v>1142</v>
      </c>
      <c r="D43" s="152" t="s">
        <v>1143</v>
      </c>
      <c r="E43" s="152" t="s">
        <v>1144</v>
      </c>
      <c r="F43" s="152" t="s">
        <v>1145</v>
      </c>
      <c r="G43" s="152" t="s">
        <v>1146</v>
      </c>
      <c r="H43" s="152" t="s">
        <v>1147</v>
      </c>
    </row>
    <row r="44" spans="1:8" ht="23.25" customHeight="1" x14ac:dyDescent="0.55000000000000004">
      <c r="A44" s="152" t="s">
        <v>1148</v>
      </c>
      <c r="B44" s="152" t="s">
        <v>901</v>
      </c>
      <c r="C44" s="152" t="s">
        <v>1149</v>
      </c>
      <c r="D44" s="152" t="s">
        <v>1150</v>
      </c>
      <c r="E44" s="152" t="s">
        <v>1151</v>
      </c>
      <c r="F44" s="152" t="s">
        <v>1152</v>
      </c>
      <c r="G44" s="152" t="s">
        <v>1153</v>
      </c>
      <c r="H44" s="152" t="s">
        <v>1154</v>
      </c>
    </row>
    <row r="47" spans="1:8" ht="15" customHeight="1" x14ac:dyDescent="0.6">
      <c r="A47" s="153" t="s">
        <v>1155</v>
      </c>
    </row>
    <row r="48" spans="1:8" ht="15" customHeight="1" x14ac:dyDescent="0.55000000000000004">
      <c r="A48" s="49" t="s">
        <v>1156</v>
      </c>
      <c r="B48" s="154" t="s">
        <v>1157</v>
      </c>
    </row>
    <row r="49" spans="1:2" ht="15" customHeight="1" x14ac:dyDescent="0.55000000000000004">
      <c r="A49" s="49" t="s">
        <v>1158</v>
      </c>
      <c r="B49" s="154" t="s">
        <v>1159</v>
      </c>
    </row>
    <row r="50" spans="1:2" ht="15" customHeight="1" x14ac:dyDescent="0.55000000000000004">
      <c r="A50" s="49" t="s">
        <v>1160</v>
      </c>
      <c r="B50" s="154" t="s">
        <v>1161</v>
      </c>
    </row>
    <row r="51" spans="1:2" ht="15" customHeight="1" x14ac:dyDescent="0.55000000000000004">
      <c r="A51" s="49" t="s">
        <v>1162</v>
      </c>
      <c r="B51" s="154" t="s">
        <v>1163</v>
      </c>
    </row>
    <row r="52" spans="1:2" ht="15" customHeight="1" x14ac:dyDescent="0.55000000000000004">
      <c r="A52" s="49" t="s">
        <v>1164</v>
      </c>
      <c r="B52" s="154" t="s">
        <v>1165</v>
      </c>
    </row>
    <row r="53" spans="1:2" ht="15" customHeight="1" x14ac:dyDescent="0.55000000000000004">
      <c r="A53" s="49" t="s">
        <v>1166</v>
      </c>
      <c r="B53" s="154" t="s">
        <v>1167</v>
      </c>
    </row>
    <row r="54" spans="1:2" ht="15" customHeight="1" x14ac:dyDescent="0.55000000000000004">
      <c r="A54" s="49" t="s">
        <v>1168</v>
      </c>
      <c r="B54" s="154" t="s">
        <v>1169</v>
      </c>
    </row>
    <row r="55" spans="1:2" ht="15" customHeight="1" x14ac:dyDescent="0.55000000000000004">
      <c r="A55" s="49" t="s">
        <v>1170</v>
      </c>
      <c r="B55" s="154" t="s">
        <v>1171</v>
      </c>
    </row>
    <row r="56" spans="1:2" ht="15" customHeight="1" x14ac:dyDescent="0.55000000000000004">
      <c r="A56" s="49" t="s">
        <v>1172</v>
      </c>
      <c r="B56" s="154" t="s">
        <v>1173</v>
      </c>
    </row>
    <row r="57" spans="1:2" ht="15" customHeight="1" x14ac:dyDescent="0.55000000000000004">
      <c r="A57" s="49" t="s">
        <v>1174</v>
      </c>
      <c r="B57" s="154" t="s">
        <v>1175</v>
      </c>
    </row>
    <row r="58" spans="1:2" ht="15" customHeight="1" x14ac:dyDescent="0.55000000000000004">
      <c r="A58" s="49" t="s">
        <v>1176</v>
      </c>
      <c r="B58" s="154" t="s">
        <v>1177</v>
      </c>
    </row>
    <row r="59" spans="1:2" ht="15" customHeight="1" x14ac:dyDescent="0.55000000000000004">
      <c r="A59" s="49" t="s">
        <v>1178</v>
      </c>
      <c r="B59" s="154" t="s">
        <v>1179</v>
      </c>
    </row>
    <row r="60" spans="1:2" ht="15" customHeight="1" x14ac:dyDescent="0.55000000000000004">
      <c r="A60" s="49" t="s">
        <v>1180</v>
      </c>
      <c r="B60" s="154" t="s">
        <v>1181</v>
      </c>
    </row>
    <row r="61" spans="1:2" ht="23.25" customHeight="1" x14ac:dyDescent="0.55000000000000004">
      <c r="A61" s="49" t="s">
        <v>1182</v>
      </c>
      <c r="B61" s="154" t="s">
        <v>1183</v>
      </c>
    </row>
    <row r="62" spans="1:2" ht="23.25" customHeight="1" x14ac:dyDescent="0.55000000000000004">
      <c r="A62" s="49" t="s">
        <v>1184</v>
      </c>
      <c r="B62" s="154" t="s">
        <v>1185</v>
      </c>
    </row>
    <row r="63" spans="1:2" ht="15" customHeight="1" x14ac:dyDescent="0.55000000000000004">
      <c r="A63" s="49" t="s">
        <v>1186</v>
      </c>
      <c r="B63" s="154" t="s">
        <v>1187</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5"/>
  <sheetViews>
    <sheetView zoomScaleNormal="100" workbookViewId="0">
      <selection sqref="A1:H1"/>
    </sheetView>
  </sheetViews>
  <sheetFormatPr defaultColWidth="8.68359375" defaultRowHeight="14.4" x14ac:dyDescent="0.55000000000000004"/>
  <cols>
    <col min="1" max="1" width="3" customWidth="1"/>
    <col min="2" max="2" width="32" customWidth="1"/>
    <col min="3" max="3" width="15" customWidth="1"/>
    <col min="4" max="5" width="16" customWidth="1"/>
    <col min="6" max="6" width="3" customWidth="1"/>
    <col min="7" max="7" width="28" customWidth="1"/>
    <col min="8" max="8" width="3" customWidth="1"/>
  </cols>
  <sheetData>
    <row r="1" spans="1:8" ht="31.5" customHeight="1" x14ac:dyDescent="0.55000000000000004">
      <c r="A1" s="320" t="s">
        <v>1188</v>
      </c>
      <c r="B1" s="320"/>
      <c r="C1" s="320"/>
      <c r="D1" s="320"/>
      <c r="E1" s="320"/>
      <c r="F1" s="320"/>
      <c r="G1" s="320"/>
      <c r="H1" s="320"/>
    </row>
    <row r="2" spans="1:8" ht="19.5" customHeight="1" x14ac:dyDescent="0.55000000000000004">
      <c r="A2" s="321" t="str">
        <f>IF(BorrowerName="","Borrower: [Not Set]","Borrower: "&amp;BorrowerName&amp;"  |  Stress base: Latest Audited Year")</f>
        <v>Borrower: [Not Set]</v>
      </c>
      <c r="B2" s="321"/>
      <c r="C2" s="321"/>
      <c r="D2" s="321"/>
      <c r="E2" s="321"/>
      <c r="F2" s="321"/>
      <c r="G2" s="321"/>
      <c r="H2" s="321"/>
    </row>
    <row r="3" spans="1:8" ht="6" customHeight="1" x14ac:dyDescent="0.55000000000000004">
      <c r="A3" s="10"/>
      <c r="B3" s="10"/>
      <c r="C3" s="10"/>
      <c r="D3" s="10"/>
      <c r="E3" s="10"/>
      <c r="F3" s="10"/>
      <c r="G3" s="10"/>
      <c r="H3" s="10"/>
    </row>
    <row r="4" spans="1:8" ht="18" customHeight="1" x14ac:dyDescent="0.55000000000000004">
      <c r="B4" s="9" t="s">
        <v>1189</v>
      </c>
      <c r="C4" s="9"/>
      <c r="D4" s="9"/>
      <c r="E4" s="9"/>
      <c r="F4" s="9"/>
      <c r="G4" s="9"/>
      <c r="H4" s="9"/>
    </row>
    <row r="5" spans="1:8" ht="15" customHeight="1" x14ac:dyDescent="0.55000000000000004">
      <c r="B5" s="17" t="s">
        <v>1190</v>
      </c>
      <c r="C5" s="17" t="s">
        <v>1191</v>
      </c>
      <c r="G5" s="17" t="s">
        <v>137</v>
      </c>
    </row>
    <row r="6" spans="1:8" ht="16.5" customHeight="1" x14ac:dyDescent="0.55000000000000004">
      <c r="B6" s="19" t="s">
        <v>8</v>
      </c>
      <c r="C6" s="155">
        <f>IFERROR(INDEX('2_Operating_Statement'!C13:N13,1,LatestAudCol),0)</f>
        <v>0</v>
      </c>
      <c r="D6" s="156"/>
      <c r="E6" s="156"/>
    </row>
    <row r="7" spans="1:8" ht="16.5" customHeight="1" x14ac:dyDescent="0.55000000000000004">
      <c r="B7" s="19" t="s">
        <v>1192</v>
      </c>
      <c r="C7" s="155">
        <f>IFERROR(IFERROR(INDEX('2_Operating_Statement'!C33:N33,1,LatestAudCol),0)+IFERROR(INDEX('2_Operating_Statement'!C24:N24,1,LatestAudCol),0),0)</f>
        <v>0</v>
      </c>
      <c r="D7" s="156"/>
      <c r="E7" s="156"/>
    </row>
    <row r="8" spans="1:8" ht="16.5" customHeight="1" x14ac:dyDescent="0.55000000000000004">
      <c r="B8" s="19" t="s">
        <v>1193</v>
      </c>
      <c r="C8" s="157">
        <f>IFERROR((IFERROR(INDEX('2_Operating_Statement'!C33:N33,1,LatestAudCol),0)+IFERROR(INDEX('2_Operating_Statement'!C24:N24,1,LatestAudCol),0))/IF(IFERROR(INDEX('2_Operating_Statement'!C13:N13,1,LatestAudCol),0)=0,1,IFERROR(INDEX('2_Operating_Statement'!C13:N13,1,LatestAudCol),0)),0)</f>
        <v>0</v>
      </c>
      <c r="D8" s="156"/>
      <c r="E8" s="156"/>
    </row>
    <row r="9" spans="1:8" ht="16.5" customHeight="1" x14ac:dyDescent="0.55000000000000004">
      <c r="B9" s="19" t="s">
        <v>1194</v>
      </c>
      <c r="C9" s="155">
        <f>IFERROR(INDEX('2_Operating_Statement'!C24:N24,1,LatestAudCol),0)</f>
        <v>0</v>
      </c>
      <c r="D9" s="156"/>
      <c r="E9" s="156"/>
    </row>
    <row r="10" spans="1:8" ht="16.5" customHeight="1" x14ac:dyDescent="0.55000000000000004">
      <c r="B10" s="19" t="s">
        <v>1195</v>
      </c>
      <c r="C10" s="155">
        <f>IFERROR(INDEX('2_Operating_Statement'!C37:N37,1,LatestAudCol),0)</f>
        <v>0</v>
      </c>
      <c r="D10" s="156"/>
      <c r="E10" s="156"/>
    </row>
    <row r="11" spans="1:8" ht="16.5" customHeight="1" x14ac:dyDescent="0.55000000000000004">
      <c r="B11" s="19" t="s">
        <v>1196</v>
      </c>
      <c r="C11" s="155">
        <f>IFERROR(INDEX('2_Operating_Statement'!C35:N35,1,LatestAudCol),0)</f>
        <v>0</v>
      </c>
      <c r="D11" s="156"/>
      <c r="E11" s="156"/>
    </row>
    <row r="12" spans="1:8" ht="16.5" customHeight="1" x14ac:dyDescent="0.55000000000000004">
      <c r="B12" s="19" t="s">
        <v>1197</v>
      </c>
      <c r="C12" s="155">
        <f>IFERROR(INDEX('4_DSCR'!C13:N13,1,LatestAudCol),0)</f>
        <v>0</v>
      </c>
      <c r="D12" s="156"/>
      <c r="E12" s="156"/>
    </row>
    <row r="13" spans="1:8" ht="16.5" customHeight="1" x14ac:dyDescent="0.55000000000000004">
      <c r="B13" s="19" t="s">
        <v>1198</v>
      </c>
      <c r="C13" s="155">
        <f>IFERROR(INDEX('4_DSCR'!C9:N9,1,LatestAudCol),0)</f>
        <v>0</v>
      </c>
      <c r="D13" s="156"/>
      <c r="E13" s="156"/>
    </row>
    <row r="14" spans="1:8" ht="16.5" customHeight="1" x14ac:dyDescent="0.55000000000000004">
      <c r="B14" s="19" t="s">
        <v>1199</v>
      </c>
      <c r="C14" s="155">
        <f>IFERROR(INDEX('3_Balance_Sheet'!C39:N39,1,LatestAudCol),0)</f>
        <v>0</v>
      </c>
      <c r="D14" s="156"/>
      <c r="E14" s="156"/>
    </row>
    <row r="15" spans="1:8" ht="16.5" customHeight="1" x14ac:dyDescent="0.55000000000000004">
      <c r="B15" s="19" t="s">
        <v>1200</v>
      </c>
      <c r="C15" s="155">
        <f>IFERROR(INDEX('3_Balance_Sheet'!C11:N11,1,LatestAudCol),0)</f>
        <v>0</v>
      </c>
      <c r="D15" s="156"/>
      <c r="E15" s="156"/>
    </row>
    <row r="16" spans="1:8" ht="16.5" customHeight="1" x14ac:dyDescent="0.55000000000000004">
      <c r="B16" s="19" t="s">
        <v>1201</v>
      </c>
      <c r="C16" s="155">
        <f>IFERROR(IFERROR(INDEX('3_Balance_Sheet'!C39:N39,1,LatestAudCol),0)+IFERROR(INDEX('3_Balance_Sheet'!C11:N11,1,LatestAudCol),0),0)</f>
        <v>0</v>
      </c>
      <c r="D16" s="156"/>
      <c r="E16" s="156"/>
    </row>
    <row r="17" spans="1:8" ht="16.5" customHeight="1" x14ac:dyDescent="0.55000000000000004">
      <c r="B17" s="19" t="s">
        <v>1202</v>
      </c>
      <c r="C17" s="155">
        <f>IFERROR(INDEX('3_Balance_Sheet'!C52:N52,1,LatestAudCol),0)</f>
        <v>0</v>
      </c>
      <c r="D17" s="156"/>
      <c r="E17" s="156"/>
    </row>
    <row r="18" spans="1:8" ht="16.5" customHeight="1" x14ac:dyDescent="0.55000000000000004">
      <c r="B18" s="19" t="s">
        <v>1203</v>
      </c>
      <c r="C18" s="155">
        <f>IFERROR(INDEX('3_Balance_Sheet'!C40:N40,1,LatestAudCol),0)</f>
        <v>0</v>
      </c>
      <c r="D18" s="156"/>
      <c r="E18" s="156"/>
    </row>
    <row r="19" spans="1:8" ht="16.5" customHeight="1" x14ac:dyDescent="0.55000000000000004">
      <c r="B19" s="19" t="s">
        <v>1204</v>
      </c>
      <c r="C19" s="158">
        <f>IFERROR(INDEX('4_DSCR'!C17:N17,1,LatestAudCol),0)</f>
        <v>0</v>
      </c>
      <c r="D19" s="156"/>
      <c r="E19" s="156"/>
    </row>
    <row r="20" spans="1:8" ht="16.5" customHeight="1" x14ac:dyDescent="0.55000000000000004">
      <c r="B20" s="19" t="s">
        <v>1205</v>
      </c>
      <c r="C20" s="158">
        <f>IFERROR(INDEX('8_Performance_Indicators'!C23:N23,1,LatestAudCol),0)</f>
        <v>0</v>
      </c>
      <c r="D20" s="156"/>
      <c r="E20" s="156"/>
    </row>
    <row r="21" spans="1:8" ht="16.5" customHeight="1" x14ac:dyDescent="0.55000000000000004">
      <c r="B21" s="19" t="s">
        <v>23</v>
      </c>
      <c r="C21" s="158">
        <f>IFERROR(INDEX('8_Performance_Indicators'!C19:N19,1,LatestAudCol),0)</f>
        <v>0</v>
      </c>
      <c r="D21" s="156"/>
      <c r="E21" s="156"/>
    </row>
    <row r="22" spans="1:8" ht="16.5" customHeight="1" x14ac:dyDescent="0.55000000000000004">
      <c r="B22" s="19" t="s">
        <v>1206</v>
      </c>
      <c r="C22" s="159">
        <f>IFERROR(INDEX('8_Performance_Indicators'!C28:N28,1,LatestAudCol),0)</f>
        <v>0</v>
      </c>
      <c r="D22" s="156"/>
      <c r="E22" s="156"/>
    </row>
    <row r="23" spans="1:8" ht="16.5" customHeight="1" x14ac:dyDescent="0.55000000000000004">
      <c r="B23" s="19" t="s">
        <v>1207</v>
      </c>
      <c r="C23" s="159">
        <f>IFERROR(INDEX('8_Performance_Indicators'!C27:N27,1,LatestAudCol),0)</f>
        <v>0</v>
      </c>
      <c r="D23" s="156"/>
      <c r="E23" s="156"/>
    </row>
    <row r="24" spans="1:8" ht="6" customHeight="1" x14ac:dyDescent="0.55000000000000004">
      <c r="A24" s="10"/>
      <c r="B24" s="10"/>
      <c r="C24" s="10"/>
      <c r="D24" s="10"/>
      <c r="E24" s="10"/>
      <c r="F24" s="10"/>
      <c r="G24" s="10"/>
      <c r="H24" s="10"/>
    </row>
    <row r="25" spans="1:8" ht="18" customHeight="1" x14ac:dyDescent="0.55000000000000004">
      <c r="B25" s="9" t="s">
        <v>1208</v>
      </c>
      <c r="C25" s="9"/>
      <c r="D25" s="9"/>
      <c r="E25" s="9"/>
      <c r="F25" s="9"/>
      <c r="G25" s="9"/>
      <c r="H25" s="9"/>
    </row>
    <row r="26" spans="1:8" ht="15" customHeight="1" x14ac:dyDescent="0.55000000000000004">
      <c r="B26" s="17" t="s">
        <v>1209</v>
      </c>
      <c r="D26" s="17" t="s">
        <v>1210</v>
      </c>
      <c r="E26" s="17" t="s">
        <v>1211</v>
      </c>
      <c r="G26" s="17" t="s">
        <v>1212</v>
      </c>
    </row>
    <row r="27" spans="1:8" ht="18" customHeight="1" x14ac:dyDescent="0.55000000000000004">
      <c r="B27" s="19" t="s">
        <v>1213</v>
      </c>
      <c r="D27" s="160">
        <v>-0.15</v>
      </c>
      <c r="E27" s="160">
        <v>-0.3</v>
      </c>
      <c r="G27" s="23" t="s">
        <v>1214</v>
      </c>
    </row>
    <row r="28" spans="1:8" ht="18" customHeight="1" x14ac:dyDescent="0.55000000000000004">
      <c r="B28" s="19" t="s">
        <v>1215</v>
      </c>
      <c r="D28" s="160">
        <v>-0.02</v>
      </c>
      <c r="E28" s="160">
        <v>-0.05</v>
      </c>
      <c r="G28" s="23" t="s">
        <v>1216</v>
      </c>
    </row>
    <row r="29" spans="1:8" ht="18" customHeight="1" x14ac:dyDescent="0.55000000000000004">
      <c r="B29" s="19" t="s">
        <v>1217</v>
      </c>
      <c r="D29" s="160">
        <v>0.01</v>
      </c>
      <c r="E29" s="160">
        <v>0.02</v>
      </c>
      <c r="G29" s="23" t="s">
        <v>1218</v>
      </c>
    </row>
    <row r="30" spans="1:8" ht="18" customHeight="1" x14ac:dyDescent="0.55000000000000004">
      <c r="B30" s="19" t="s">
        <v>1219</v>
      </c>
      <c r="D30" s="161">
        <v>15</v>
      </c>
      <c r="E30" s="161">
        <v>30</v>
      </c>
      <c r="G30" s="23" t="s">
        <v>1220</v>
      </c>
    </row>
    <row r="31" spans="1:8" ht="18" customHeight="1" x14ac:dyDescent="0.55000000000000004">
      <c r="B31" s="19" t="s">
        <v>1221</v>
      </c>
      <c r="D31" s="161">
        <v>10</v>
      </c>
      <c r="E31" s="161">
        <v>20</v>
      </c>
      <c r="G31" s="23" t="s">
        <v>1222</v>
      </c>
    </row>
    <row r="32" spans="1:8" ht="6" customHeight="1" x14ac:dyDescent="0.55000000000000004">
      <c r="A32" s="10"/>
      <c r="B32" s="10"/>
      <c r="C32" s="10"/>
      <c r="D32" s="10"/>
      <c r="E32" s="10"/>
      <c r="F32" s="10"/>
      <c r="G32" s="10"/>
      <c r="H32" s="10"/>
    </row>
    <row r="33" spans="1:8" ht="18" customHeight="1" x14ac:dyDescent="0.55000000000000004">
      <c r="B33" s="9" t="s">
        <v>1223</v>
      </c>
      <c r="C33" s="9"/>
      <c r="D33" s="9"/>
      <c r="E33" s="9"/>
      <c r="F33" s="9"/>
      <c r="G33" s="9"/>
      <c r="H33" s="9"/>
    </row>
    <row r="34" spans="1:8" ht="15" customHeight="1" x14ac:dyDescent="0.55000000000000004">
      <c r="B34" s="17" t="s">
        <v>1224</v>
      </c>
      <c r="C34" s="17" t="s">
        <v>1225</v>
      </c>
      <c r="D34" s="17" t="s">
        <v>1226</v>
      </c>
      <c r="E34" s="17" t="s">
        <v>1227</v>
      </c>
      <c r="G34" s="17" t="s">
        <v>1228</v>
      </c>
    </row>
    <row r="35" spans="1:8" ht="19.5" customHeight="1" x14ac:dyDescent="0.55000000000000004">
      <c r="B35" s="38" t="s">
        <v>1229</v>
      </c>
      <c r="C35" s="155">
        <f>C6</f>
        <v>0</v>
      </c>
      <c r="D35" s="162">
        <f>IFERROR(C6*(1+D27),0)</f>
        <v>0</v>
      </c>
      <c r="E35" s="163">
        <f>IFERROR(C6*(1+E27),0)</f>
        <v>0</v>
      </c>
      <c r="G35" s="32" t="str">
        <f>IF(D35&lt;C6*0.7,"🔴 Sales &gt;30% below base — viability at risk","✓ Manageable")</f>
        <v>✓ Manageable</v>
      </c>
    </row>
    <row r="36" spans="1:8" ht="19.5" customHeight="1" x14ac:dyDescent="0.55000000000000004">
      <c r="B36" s="38" t="s">
        <v>1230</v>
      </c>
      <c r="C36" s="155">
        <f>C7</f>
        <v>0</v>
      </c>
      <c r="D36" s="162">
        <f>IFERROR(D35*(C8+D28),0)</f>
        <v>0</v>
      </c>
      <c r="E36" s="163">
        <f>IFERROR(E35*(C8+E28),0)</f>
        <v>0</v>
      </c>
      <c r="G36" s="32" t="str">
        <f>IF(D36&lt;=0,"🔴 Negative EBITDA — operating loss, debt service impossible","✓ Positive EBITDA")</f>
        <v>🔴 Negative EBITDA — operating loss, debt service impossible</v>
      </c>
    </row>
    <row r="37" spans="1:8" ht="19.5" customHeight="1" x14ac:dyDescent="0.55000000000000004">
      <c r="B37" s="38" t="s">
        <v>1231</v>
      </c>
      <c r="C37" s="155">
        <f>C10</f>
        <v>0</v>
      </c>
      <c r="D37" s="162">
        <f>IFERROR(C10+C16*D29,0)</f>
        <v>0</v>
      </c>
      <c r="E37" s="163">
        <f>IFERROR(C10+C16*E29,0)</f>
        <v>0</v>
      </c>
      <c r="G37" s="32" t="str">
        <f>IF(D37&gt;D36,"🔴 Interest exceeds EBITDA — negative EBIT","✓ Covered by EBITDA")</f>
        <v>✓ Covered by EBITDA</v>
      </c>
    </row>
    <row r="38" spans="1:8" ht="19.5" customHeight="1" x14ac:dyDescent="0.55000000000000004">
      <c r="B38" s="38" t="s">
        <v>1232</v>
      </c>
      <c r="C38" s="155">
        <f>C11</f>
        <v>0</v>
      </c>
      <c r="D38" s="162">
        <f>IFERROR(C11+C14*D29,0)</f>
        <v>0</v>
      </c>
      <c r="E38" s="163">
        <f>IFERROR(C11+C14*E29,0)</f>
        <v>0</v>
      </c>
      <c r="G38" s="32" t="s">
        <v>1233</v>
      </c>
    </row>
    <row r="39" spans="1:8" ht="19.5" customHeight="1" x14ac:dyDescent="0.55000000000000004">
      <c r="B39" s="38" t="s">
        <v>1234</v>
      </c>
      <c r="C39" s="155">
        <f>C13</f>
        <v>0</v>
      </c>
      <c r="D39" s="162">
        <f>IFERROR(C13+(D36-C7)-(D37-C10)*(1-0.25),0)</f>
        <v>0</v>
      </c>
      <c r="E39" s="163">
        <f>IFERROR(C13+(E36-C7)-(E37-C10)*(1-0.25),0)</f>
        <v>0</v>
      </c>
      <c r="G39" s="32" t="str">
        <f>IF(D39&lt;0,"🔴 Negative cash accruals — cannot service any debt","✓ Positive accruals")</f>
        <v>✓ Positive accruals</v>
      </c>
    </row>
    <row r="40" spans="1:8" ht="19.5" customHeight="1" x14ac:dyDescent="0.55000000000000004">
      <c r="B40" s="38" t="s">
        <v>1235</v>
      </c>
      <c r="C40" s="158">
        <f>C19</f>
        <v>0</v>
      </c>
      <c r="D40" s="164">
        <f>IFERROR((D39+D38)/(C12+D38),0)</f>
        <v>0</v>
      </c>
      <c r="E40" s="165">
        <f>IFERROR((E39+E38)/(C12+E38),0)</f>
        <v>0</v>
      </c>
      <c r="G40" s="32" t="str">
        <f>IF(D40&lt;MinDSCR_Any,"🔴 DSCR BREACH under moderate stress — covenant violation risk","✓ DSCR holds")</f>
        <v>🔴 DSCR BREACH under moderate stress — covenant violation risk</v>
      </c>
    </row>
    <row r="41" spans="1:8" ht="19.5" customHeight="1" x14ac:dyDescent="0.55000000000000004">
      <c r="B41" s="38" t="s">
        <v>1236</v>
      </c>
      <c r="C41" s="158">
        <f>C20</f>
        <v>0</v>
      </c>
      <c r="D41" s="164">
        <f>IFERROR(D36/D37,0)</f>
        <v>0</v>
      </c>
      <c r="E41" s="165">
        <f>IFERROR(E36/E37,0)</f>
        <v>0</v>
      </c>
      <c r="G41" s="32" t="str">
        <f>IF(D41&lt;MinICR,"🔴 ICR BREACH under moderate stress — interest not covered","✓ ICR holds")</f>
        <v>🔴 ICR BREACH under moderate stress — interest not covered</v>
      </c>
    </row>
    <row r="42" spans="1:8" ht="19.5" customHeight="1" x14ac:dyDescent="0.55000000000000004">
      <c r="B42" s="38" t="s">
        <v>1237</v>
      </c>
      <c r="C42" s="158">
        <f>C21</f>
        <v>0</v>
      </c>
      <c r="D42" s="164">
        <f>IFERROR(C18/(C17+MIN(0,(D36-C9-D37)*(1-0.25))),0)</f>
        <v>0</v>
      </c>
      <c r="E42" s="165">
        <f>IFERROR(C18/(C17+MIN(0,(E36-C9-E37)*(1-0.25))),0)</f>
        <v>0</v>
      </c>
      <c r="G42" s="32" t="str">
        <f>IF(D42&gt;MaxTOLTNW,"🔴 TOL/TNW exceeds max — equity base eroding under stress","✓ Within threshold")</f>
        <v>✓ Within threshold</v>
      </c>
    </row>
    <row r="43" spans="1:8" ht="19.5" customHeight="1" x14ac:dyDescent="0.55000000000000004">
      <c r="B43" s="38" t="s">
        <v>1238</v>
      </c>
      <c r="C43" s="155">
        <f>IFERROR(C6/365*C22,0)</f>
        <v>0</v>
      </c>
      <c r="D43" s="162">
        <f>IFERROR(D35/365*(C22+D30),0)</f>
        <v>0</v>
      </c>
      <c r="E43" s="163">
        <f>IFERROR(E35/365*(C22+E30),0)</f>
        <v>0</v>
      </c>
      <c r="G43" s="32" t="str">
        <f>IF(D43&gt;D35*0.3,"⚠ Debtors &gt;30% of stressed sales — liquidity pressure","✓ Manageable")</f>
        <v>✓ Manageable</v>
      </c>
    </row>
    <row r="44" spans="1:8" ht="19.5" customHeight="1" x14ac:dyDescent="0.55000000000000004">
      <c r="B44" s="38" t="s">
        <v>1239</v>
      </c>
      <c r="C44" s="155">
        <f>IFERROR(C6/365*C23,0)</f>
        <v>0</v>
      </c>
      <c r="D44" s="162">
        <f>IFERROR(D35/365*(C23+D31),0)</f>
        <v>0</v>
      </c>
      <c r="E44" s="163">
        <f>IFERROR(E35/365*(C23+E31),0)</f>
        <v>0</v>
      </c>
      <c r="G44" s="32" t="s">
        <v>1240</v>
      </c>
    </row>
    <row r="45" spans="1:8" ht="6" customHeight="1" x14ac:dyDescent="0.55000000000000004">
      <c r="A45" s="10"/>
      <c r="B45" s="10"/>
      <c r="C45" s="10"/>
      <c r="D45" s="10"/>
      <c r="E45" s="10"/>
      <c r="F45" s="10"/>
      <c r="G45" s="10"/>
      <c r="H45" s="10"/>
    </row>
    <row r="46" spans="1:8" ht="18" customHeight="1" x14ac:dyDescent="0.55000000000000004">
      <c r="B46" s="9" t="s">
        <v>1241</v>
      </c>
      <c r="C46" s="9"/>
      <c r="D46" s="9"/>
      <c r="E46" s="9"/>
      <c r="F46" s="9"/>
      <c r="G46" s="9"/>
      <c r="H46" s="9"/>
    </row>
    <row r="47" spans="1:8" ht="45" customHeight="1" x14ac:dyDescent="0.55000000000000004">
      <c r="B47" s="323" t="str">
        <f>"MODERATE STRESS: DSCR = "&amp;TEXT(D40,"0.00x")&amp;" | ICR = "&amp;TEXT(D41,"0.00x")&amp;" | TOL/TNW = "&amp;TEXT(D42,"0.00x")&amp;CHAR(10)&amp;"SEVERE STRESS: DSCR = "&amp;TEXT(E40,"0.00x")&amp;" | ICR = "&amp;TEXT(E41,"0.00x")&amp;" | TOL/TNW = "&amp;TEXT(E42,"0.00x")&amp;CHAR(10)&amp;IF(D40&lt;MinDSCR_Any,"⚠ Borrower cannot service term debt under moderate stress. Covenant breach expected. Consider TL restructure or repayment holiday provisions.","✅ Borrower survives moderate stress without covenant breach — reflects adequate financial resilience.")</f>
        <v>MODERATE STRESS: DSCR = 0.00x | ICR = 0.00x | TOL/TNW = 0.00x
SEVERE STRESS: DSCR = 0.00x | ICR = 0.00x | TOL/TNW = 0.00x
⚠ Borrower cannot service term debt under moderate stress. Covenant breach expected. Consider TL restructure or repayment holiday provisions.</v>
      </c>
      <c r="C47" s="323"/>
      <c r="D47" s="323"/>
      <c r="E47" s="323"/>
      <c r="F47" s="323"/>
      <c r="G47" s="323"/>
      <c r="H47" s="323"/>
    </row>
    <row r="49" spans="1:8" ht="21.75" customHeight="1" x14ac:dyDescent="0.55000000000000004">
      <c r="A49" s="313" t="s">
        <v>1242</v>
      </c>
      <c r="B49" s="313"/>
      <c r="C49" s="313"/>
      <c r="D49" s="313"/>
      <c r="E49" s="313"/>
      <c r="F49" s="313"/>
      <c r="G49" s="313"/>
      <c r="H49" s="313"/>
    </row>
    <row r="50" spans="1:8" ht="30" customHeight="1" x14ac:dyDescent="0.55000000000000004">
      <c r="A50" s="314" t="s">
        <v>1243</v>
      </c>
      <c r="B50" s="314"/>
      <c r="C50" s="314"/>
      <c r="D50" s="314"/>
      <c r="E50" s="314"/>
      <c r="F50" s="314"/>
      <c r="G50" s="314"/>
      <c r="H50" s="314"/>
    </row>
    <row r="51" spans="1:8" ht="6" customHeight="1" x14ac:dyDescent="0.55000000000000004"/>
    <row r="52" spans="1:8" ht="31.5" customHeight="1" x14ac:dyDescent="0.55000000000000004">
      <c r="B52" s="17" t="s">
        <v>1209</v>
      </c>
      <c r="C52" s="166" t="s">
        <v>1244</v>
      </c>
      <c r="D52" s="166" t="s">
        <v>1245</v>
      </c>
      <c r="E52" s="166" t="s">
        <v>1246</v>
      </c>
      <c r="F52" s="166" t="s">
        <v>1247</v>
      </c>
      <c r="G52" s="18" t="s">
        <v>559</v>
      </c>
    </row>
    <row r="53" spans="1:8" ht="21.75" customHeight="1" x14ac:dyDescent="0.55000000000000004">
      <c r="B53" s="38" t="s">
        <v>1215</v>
      </c>
      <c r="C53"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Generation",IndustryName)),ISNUMBER(SEARCH("Chemicals",IndustryName))),TRUE(),FALSE()),FALSE()),-0.015,-0.005)</f>
        <v>-5.0000000000000001E-3</v>
      </c>
      <c r="D53"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Generation",IndustryName)),ISNUMBER(SEARCH("Chemicals",IndustryName))),TRUE(),FALSE()),FALSE()),-0.08,-0.04)</f>
        <v>-0.04</v>
      </c>
      <c r="E53"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Generation",IndustryName)),ISNUMBER(SEARCH("Chemicals",IndustryName))),TRUE(),FALSE()),FALSE()),-0.025,-0.015)</f>
        <v>-1.4999999999999999E-2</v>
      </c>
      <c r="F53"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Generation",IndustryName)),ISNUMBER(SEARCH("Chemicals",IndustryName))),TRUE(),FALSE()),FALSE()),-0.09,-0.05)</f>
        <v>-0.05</v>
      </c>
      <c r="G53" s="48" t="s">
        <v>1248</v>
      </c>
    </row>
    <row r="54" spans="1:8" ht="21.75" customHeight="1" x14ac:dyDescent="0.55000000000000004">
      <c r="B54" s="38" t="s">
        <v>1249</v>
      </c>
      <c r="C54"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Generation",IndustryName)),ISNUMBER(SEARCH("Chemicals",IndustryName))),TRUE(),FALSE()),FALSE()),3,3)</f>
        <v>3</v>
      </c>
      <c r="D54"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Generation",IndustryName)),ISNUMBER(SEARCH("Chemicals",IndustryName))),TRUE(),FALSE()),FALSE()),8,8)</f>
        <v>8</v>
      </c>
      <c r="E54"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Generation",IndustryName)),ISNUMBER(SEARCH("Chemicals",IndustryName))),TRUE(),FALSE()),FALSE()),25,18)</f>
        <v>18</v>
      </c>
      <c r="F54"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Generation",IndustryName)),ISNUMBER(SEARCH("Chemicals",IndustryName))),TRUE(),FALSE()),FALSE()),30,22)</f>
        <v>22</v>
      </c>
      <c r="G54" s="48" t="s">
        <v>1250</v>
      </c>
    </row>
    <row r="55" spans="1:8" ht="21.75" customHeight="1" x14ac:dyDescent="0.55000000000000004">
      <c r="B55" s="38" t="s">
        <v>1221</v>
      </c>
      <c r="C55"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Generation",IndustryName)),ISNUMBER(SEARCH("Chemicals",IndustryName))),TRUE(),FALSE()),FALSE()),2,2)</f>
        <v>2</v>
      </c>
      <c r="D55"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Generation",IndustryName)),ISNUMBER(SEARCH("Chemicals",IndustryName))),TRUE(),FALSE()),FALSE()),5,5)</f>
        <v>5</v>
      </c>
      <c r="E55"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Generation",IndustryName)),ISNUMBER(SEARCH("Chemicals",IndustryName))),TRUE(),FALSE()),FALSE()),22,15)</f>
        <v>15</v>
      </c>
      <c r="F55" s="168">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Generation",IndustryName)),ISNUMBER(SEARCH("Chemicals",IndustryName))),TRUE(),FALSE()),FALSE()),28,20)</f>
        <v>20</v>
      </c>
      <c r="G55" s="48" t="s">
        <v>1251</v>
      </c>
    </row>
    <row r="56" spans="1:8" ht="21.75" customHeight="1" x14ac:dyDescent="0.55000000000000004">
      <c r="B56" s="38" t="s">
        <v>1217</v>
      </c>
      <c r="C56"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Generation",IndustryName)),ISNUMBER(SEARCH("Chemicals",IndustryName))),TRUE(),FALSE()),FALSE()),0.005,0.0025)</f>
        <v>2.5000000000000001E-3</v>
      </c>
      <c r="D56"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Generation",IndustryName)),ISNUMBER(SEARCH("Chemicals",IndustryName))),TRUE(),FALSE()),FALSE()),0.0125,0.0075)</f>
        <v>7.4999999999999997E-3</v>
      </c>
      <c r="E56"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Generation",IndustryName)),ISNUMBER(SEARCH("Chemicals",IndustryName))),TRUE(),FALSE()),FALSE()),0.0075,0.005)</f>
        <v>5.0000000000000001E-3</v>
      </c>
      <c r="F56" s="167">
        <f>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Generation",IndustryName)),ISNUMBER(SEARCH("Chemicals",IndustryName))),TRUE(),FALSE()),FALSE()),0.0175,0.0125)</f>
        <v>1.2500000000000001E-2</v>
      </c>
      <c r="G56" s="48" t="s">
        <v>1252</v>
      </c>
    </row>
    <row r="57" spans="1:8" ht="6" customHeight="1" x14ac:dyDescent="0.55000000000000004"/>
    <row r="58" spans="1:8" ht="18" customHeight="1" x14ac:dyDescent="0.55000000000000004">
      <c r="B58" s="9" t="s">
        <v>1253</v>
      </c>
      <c r="C58" s="9"/>
      <c r="D58" s="9"/>
      <c r="E58" s="9"/>
      <c r="F58" s="9"/>
      <c r="G58" s="9"/>
    </row>
    <row r="59" spans="1:8" ht="27.75" customHeight="1" x14ac:dyDescent="0.55000000000000004">
      <c r="B59" s="17" t="s">
        <v>1224</v>
      </c>
      <c r="C59" s="17" t="s">
        <v>1254</v>
      </c>
      <c r="D59" s="17" t="s">
        <v>1255</v>
      </c>
      <c r="E59" s="17" t="s">
        <v>1256</v>
      </c>
      <c r="F59" s="166" t="s">
        <v>1257</v>
      </c>
      <c r="G59" s="18" t="s">
        <v>1258</v>
      </c>
    </row>
    <row r="60" spans="1:8" ht="21.75" customHeight="1" x14ac:dyDescent="0.55000000000000004">
      <c r="B60" s="38" t="s">
        <v>1259</v>
      </c>
      <c r="C60" s="167">
        <f>IFERROR(C8+C53,0)</f>
        <v>-5.0000000000000001E-3</v>
      </c>
      <c r="D60" s="167">
        <f>IFERROR(C8+D53,0)</f>
        <v>-0.04</v>
      </c>
      <c r="E60" s="167">
        <f>IFERROR(C8+E53,0)</f>
        <v>-1.4999999999999999E-2</v>
      </c>
      <c r="F60" s="167">
        <f>IFERROR(C8+F53,0)</f>
        <v>-0.05</v>
      </c>
      <c r="G60" s="32" t="str">
        <f>IF(MIN(C60:F60)&lt;0,"🔴 Negative margin in worst scenario","✓ Margins remain positive")</f>
        <v>🔴 Negative margin in worst scenario</v>
      </c>
    </row>
    <row r="61" spans="1:8" ht="21.75" customHeight="1" x14ac:dyDescent="0.55000000000000004">
      <c r="B61" s="38" t="s">
        <v>1230</v>
      </c>
      <c r="C61" s="120">
        <f>IFERROR(C6*(C8+C53),0)</f>
        <v>0</v>
      </c>
      <c r="D61" s="120">
        <f>IFERROR(C6*(C8+D53),0)</f>
        <v>0</v>
      </c>
      <c r="E61" s="120">
        <f>IFERROR(C6*(C8+E53),0)</f>
        <v>0</v>
      </c>
      <c r="F61" s="120">
        <f>IFERROR(C6*(C8+F53),0)</f>
        <v>0</v>
      </c>
      <c r="G61" s="32" t="str">
        <f>IF(MIN(C61:F61)&lt;=0,"🔴 EBITDA negative — debt service impossible","✓ Positive EBITDA")</f>
        <v>🔴 EBITDA negative — debt service impossible</v>
      </c>
    </row>
    <row r="62" spans="1:8" ht="21.75" customHeight="1" x14ac:dyDescent="0.55000000000000004">
      <c r="B62" s="38" t="s">
        <v>1231</v>
      </c>
      <c r="C62" s="120">
        <f>IFERROR(C10+C16*C56,0)</f>
        <v>0</v>
      </c>
      <c r="D62" s="120">
        <f>IFERROR(C10+C16*D56,0)</f>
        <v>0</v>
      </c>
      <c r="E62" s="120">
        <f>IFERROR(C10+C16*E56,0)</f>
        <v>0</v>
      </c>
      <c r="F62" s="120">
        <f>IFERROR(C10+C16*F56,0)</f>
        <v>0</v>
      </c>
      <c r="G62" s="32" t="str">
        <f>IF(MIN(C61:F61)&lt;MAX(C62:F62),"🔴 Interest exceeds EBITDA in worst scenario","✓ EBITDA covers interest")</f>
        <v>✓ EBITDA covers interest</v>
      </c>
    </row>
    <row r="63" spans="1:8" ht="21.75" customHeight="1" x14ac:dyDescent="0.55000000000000004">
      <c r="B63" s="38" t="s">
        <v>1235</v>
      </c>
      <c r="C63" s="169">
        <f>IFERROR(((C61-C9-C62)*(1-0.25)+C9+C11)/(C12+C11+C16*C56),0)</f>
        <v>0</v>
      </c>
      <c r="D63" s="169">
        <f>IFERROR(((D61-C9-D62)*(1-0.25)+C9+C11)/(C12+C11+C16*D56),0)</f>
        <v>0</v>
      </c>
      <c r="E63" s="169">
        <f>IFERROR(((E61-C9-E62)*(1-0.25)+C9+C11)/(C12+C11+C16*E56),0)</f>
        <v>0</v>
      </c>
      <c r="F63" s="169">
        <f>IFERROR(((F61-C9-F62)*(1-0.25)+C9+C11)/(C12+C11+C16*F56),0)</f>
        <v>0</v>
      </c>
      <c r="G63" s="32" t="str">
        <f>IF(MIN(C63:F63)&lt;MinDSCR_Any,"🔴 DSCR breach — covenant violation under climate stress","✓ DSCR holds in all NGFS scenarios")</f>
        <v>🔴 DSCR breach — covenant violation under climate stress</v>
      </c>
    </row>
    <row r="64" spans="1:8" ht="6" customHeight="1" x14ac:dyDescent="0.55000000000000004"/>
    <row r="65" spans="1:8" ht="49.5" customHeight="1" x14ac:dyDescent="0.55000000000000004">
      <c r="B65" s="311" t="str">
        <f>"NGFS CLIMATE VERDICT: Under Disorderly Transition (sudden carbon tax), "&amp;I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Generation",IndustryName)),ISNUMBER(SEARCH("Chemicals",IndustryName))),TRUE(),FALSE()),FALSE()),"borrower's hard-to-abate sector exposure amplifies risk significantly. ","borrower's sector has lower transition vulnerability. ")&amp;"Worst-case DSCR across scenarios: "&amp;TEXT(MIN(C63:F63),"0.00x")&amp;" | "&amp;IF(MIN(C63:F63)&lt;MinDSCR_Any,"⚠ Covenant breach under climate stress.","✅ Resilient to NGFS climate stress.")</f>
        <v>NGFS CLIMATE VERDICT: Under Disorderly Transition (sudden carbon tax), borrower's sector has lower transition vulnerability. Worst-case DSCR across scenarios: 0.00x | ⚠ Covenant breach under climate stress.</v>
      </c>
      <c r="C65" s="311"/>
      <c r="D65" s="311"/>
      <c r="E65" s="311"/>
      <c r="F65" s="311"/>
      <c r="G65" s="311"/>
    </row>
    <row r="67" spans="1:8" ht="15" customHeight="1" x14ac:dyDescent="0.55000000000000004">
      <c r="A67" s="324" t="s">
        <v>1260</v>
      </c>
      <c r="B67" s="324"/>
      <c r="C67" s="324"/>
      <c r="D67" s="324"/>
      <c r="E67" s="324"/>
      <c r="F67" s="324"/>
      <c r="G67" s="324"/>
      <c r="H67" s="324"/>
    </row>
    <row r="68" spans="1:8" ht="30" customHeight="1" x14ac:dyDescent="0.55000000000000004">
      <c r="A68" s="325" t="s">
        <v>1261</v>
      </c>
      <c r="B68" s="325"/>
      <c r="C68" s="325"/>
      <c r="D68" s="325"/>
      <c r="E68" s="325"/>
      <c r="F68" s="325"/>
      <c r="G68" s="325"/>
      <c r="H68" s="325"/>
    </row>
    <row r="70" spans="1:8" ht="15" customHeight="1" x14ac:dyDescent="0.55000000000000004">
      <c r="B70" s="326" t="s">
        <v>1262</v>
      </c>
      <c r="C70" s="326"/>
      <c r="D70" s="326"/>
      <c r="E70" s="326"/>
      <c r="F70" s="326"/>
      <c r="G70" s="326"/>
      <c r="H70" s="326"/>
    </row>
    <row r="71" spans="1:8" ht="15" customHeight="1" x14ac:dyDescent="0.55000000000000004">
      <c r="B71" s="171" t="s">
        <v>1263</v>
      </c>
      <c r="C71" s="172" t="s">
        <v>1264</v>
      </c>
      <c r="D71" s="327" t="s">
        <v>1265</v>
      </c>
      <c r="E71" s="327"/>
      <c r="F71" s="327"/>
      <c r="G71" s="327"/>
      <c r="H71" s="327"/>
    </row>
    <row r="72" spans="1:8" ht="15" customHeight="1" x14ac:dyDescent="0.55000000000000004">
      <c r="B72" s="171" t="s">
        <v>1266</v>
      </c>
      <c r="C72" s="174">
        <v>1</v>
      </c>
      <c r="D72" s="327" t="s">
        <v>1267</v>
      </c>
      <c r="E72" s="327"/>
      <c r="F72" s="327"/>
      <c r="G72" s="327"/>
      <c r="H72" s="327"/>
    </row>
    <row r="73" spans="1:8" ht="15" customHeight="1" x14ac:dyDescent="0.55000000000000004">
      <c r="B73" s="171" t="s">
        <v>1268</v>
      </c>
      <c r="C73" s="34" t="str">
        <f>IFERROR(VLOOKUP(C71,B77:G82,1,FALSE()),"⚠ Invalid scenario")</f>
        <v>Brent Oil Shock</v>
      </c>
      <c r="D73" s="34" t="s">
        <v>1269</v>
      </c>
      <c r="E73" s="34" t="str">
        <f>TEXT(C72,"0%")&amp;" intensity"</f>
        <v>100% intensity</v>
      </c>
    </row>
    <row r="75" spans="1:8" ht="15" customHeight="1" x14ac:dyDescent="0.55000000000000004">
      <c r="B75" s="326" t="s">
        <v>1270</v>
      </c>
      <c r="C75" s="326"/>
      <c r="D75" s="326"/>
      <c r="E75" s="326"/>
      <c r="F75" s="326"/>
      <c r="G75" s="326"/>
      <c r="H75" s="326"/>
    </row>
    <row r="76" spans="1:8" ht="27.75" customHeight="1" x14ac:dyDescent="0.55000000000000004">
      <c r="B76" s="175" t="s">
        <v>1271</v>
      </c>
      <c r="C76" s="175" t="s">
        <v>1272</v>
      </c>
      <c r="D76" s="175" t="s">
        <v>1273</v>
      </c>
      <c r="E76" s="175" t="s">
        <v>1274</v>
      </c>
      <c r="F76" s="175" t="s">
        <v>1275</v>
      </c>
      <c r="G76" s="175" t="s">
        <v>1276</v>
      </c>
      <c r="H76" s="175" t="s">
        <v>1277</v>
      </c>
    </row>
    <row r="77" spans="1:8" ht="24" customHeight="1" x14ac:dyDescent="0.55000000000000004">
      <c r="B77" s="33" t="s">
        <v>1264</v>
      </c>
      <c r="C77" s="176">
        <v>-0.05</v>
      </c>
      <c r="D77" s="177">
        <v>-0.04</v>
      </c>
      <c r="E77" s="178">
        <v>20</v>
      </c>
      <c r="F77" s="178">
        <v>15</v>
      </c>
      <c r="G77" s="177">
        <v>5.0000000000000001E-3</v>
      </c>
      <c r="H77" s="179" t="s">
        <v>1278</v>
      </c>
    </row>
    <row r="78" spans="1:8" ht="24" customHeight="1" x14ac:dyDescent="0.55000000000000004">
      <c r="B78" s="33" t="s">
        <v>1279</v>
      </c>
      <c r="C78" s="176">
        <v>-0.1</v>
      </c>
      <c r="D78" s="177">
        <v>-0.04</v>
      </c>
      <c r="E78" s="178">
        <v>25</v>
      </c>
      <c r="F78" s="178">
        <v>30</v>
      </c>
      <c r="G78" s="177">
        <v>2.5000000000000001E-3</v>
      </c>
      <c r="H78" s="179" t="s">
        <v>1280</v>
      </c>
    </row>
    <row r="79" spans="1:8" ht="24" customHeight="1" x14ac:dyDescent="0.55000000000000004">
      <c r="B79" s="33" t="s">
        <v>1281</v>
      </c>
      <c r="C79" s="176">
        <v>-0.05</v>
      </c>
      <c r="D79" s="177">
        <v>-0.01</v>
      </c>
      <c r="E79" s="178">
        <v>10</v>
      </c>
      <c r="F79" s="178">
        <v>5</v>
      </c>
      <c r="G79" s="177">
        <v>0.02</v>
      </c>
      <c r="H79" s="179" t="s">
        <v>1282</v>
      </c>
    </row>
    <row r="80" spans="1:8" ht="24" customHeight="1" x14ac:dyDescent="0.55000000000000004">
      <c r="B80" s="33" t="s">
        <v>1283</v>
      </c>
      <c r="C80" s="176">
        <v>-0.2</v>
      </c>
      <c r="D80" s="177">
        <v>-0.02</v>
      </c>
      <c r="E80" s="178">
        <v>30</v>
      </c>
      <c r="F80" s="178">
        <v>25</v>
      </c>
      <c r="G80" s="177">
        <v>5.0000000000000001E-3</v>
      </c>
      <c r="H80" s="179" t="s">
        <v>1284</v>
      </c>
    </row>
    <row r="81" spans="2:8" ht="24" customHeight="1" x14ac:dyDescent="0.55000000000000004">
      <c r="B81" s="33" t="s">
        <v>1285</v>
      </c>
      <c r="C81" s="176">
        <v>0.02</v>
      </c>
      <c r="D81" s="177">
        <v>-2.5000000000000001E-2</v>
      </c>
      <c r="E81" s="178">
        <v>10</v>
      </c>
      <c r="F81" s="178">
        <v>10</v>
      </c>
      <c r="G81" s="177">
        <v>0.01</v>
      </c>
      <c r="H81" s="179" t="s">
        <v>1286</v>
      </c>
    </row>
    <row r="82" spans="2:8" ht="24" customHeight="1" x14ac:dyDescent="0.55000000000000004">
      <c r="B82" s="33" t="s">
        <v>1287</v>
      </c>
      <c r="C82" s="176">
        <v>-0.25</v>
      </c>
      <c r="D82" s="177">
        <v>-0.05</v>
      </c>
      <c r="E82" s="178">
        <v>40</v>
      </c>
      <c r="F82" s="178">
        <v>20</v>
      </c>
      <c r="G82" s="177">
        <v>7.4999999999999997E-3</v>
      </c>
      <c r="H82" s="179" t="s">
        <v>1288</v>
      </c>
    </row>
    <row r="84" spans="2:8" ht="15" customHeight="1" x14ac:dyDescent="0.55000000000000004">
      <c r="B84" s="326" t="s">
        <v>1289</v>
      </c>
      <c r="C84" s="326"/>
      <c r="D84" s="326"/>
      <c r="E84" s="326"/>
      <c r="F84" s="326"/>
      <c r="G84" s="326"/>
      <c r="H84" s="326"/>
    </row>
    <row r="85" spans="2:8" ht="34.5" customHeight="1" x14ac:dyDescent="0.55000000000000004">
      <c r="B85" s="175" t="s">
        <v>1290</v>
      </c>
      <c r="C85" s="175" t="s">
        <v>1291</v>
      </c>
      <c r="D85" s="175" t="s">
        <v>1292</v>
      </c>
      <c r="E85" s="175" t="s">
        <v>1293</v>
      </c>
      <c r="F85" s="175" t="s">
        <v>1294</v>
      </c>
      <c r="G85" s="175" t="s">
        <v>1258</v>
      </c>
      <c r="H85" s="175" t="s">
        <v>137</v>
      </c>
    </row>
    <row r="86" spans="2:8" ht="21.75" customHeight="1" x14ac:dyDescent="0.55000000000000004">
      <c r="B86" s="180" t="s">
        <v>1295</v>
      </c>
      <c r="C86" s="181" t="s">
        <v>1296</v>
      </c>
      <c r="D86" s="182">
        <f>C6</f>
        <v>0</v>
      </c>
      <c r="E86" s="182">
        <f>IFERROR(C6*(1+INDEX($C$77:$C$82,MATCH($C$71,$B$77:$B$82,0))*$C$72),0)</f>
        <v>0</v>
      </c>
      <c r="F86" s="182">
        <f>IFERROR(E86-D86,0)</f>
        <v>0</v>
      </c>
      <c r="G86" s="36" t="str">
        <f>IF(D86=0,"⚪ No data",IF((E86/D86-1)&lt;-0.2,"🔴 Sales &gt;20% below base","✓ Within tolerance"))</f>
        <v>⚪ No data</v>
      </c>
      <c r="H86" s="179" t="s">
        <v>1297</v>
      </c>
    </row>
    <row r="87" spans="2:8" ht="21.75" customHeight="1" x14ac:dyDescent="0.55000000000000004">
      <c r="B87" s="180" t="s">
        <v>1298</v>
      </c>
      <c r="C87" s="181" t="s">
        <v>1299</v>
      </c>
      <c r="D87" s="183">
        <f>C8</f>
        <v>0</v>
      </c>
      <c r="E87" s="183">
        <f>IFERROR(C8+INDEX($D$77:$D$82,MATCH($C$71,$B$77:$B$82,0))*$C$72,0)</f>
        <v>-0.04</v>
      </c>
      <c r="F87" s="183">
        <f>IFERROR(E87-D87,0)</f>
        <v>-0.04</v>
      </c>
      <c r="G87" s="36" t="str">
        <f>IF(E87&lt;=0,"🔴 NEGATIVE margin",IF(E87&lt;C8*0.5,"🟠 Margin halved","✓ Holding"))</f>
        <v>🔴 NEGATIVE margin</v>
      </c>
      <c r="H87" s="179" t="s">
        <v>1300</v>
      </c>
    </row>
    <row r="88" spans="2:8" ht="21.75" customHeight="1" x14ac:dyDescent="0.55000000000000004">
      <c r="B88" s="180" t="s">
        <v>1301</v>
      </c>
      <c r="C88" s="181" t="s">
        <v>1302</v>
      </c>
      <c r="D88" s="182">
        <f>C7</f>
        <v>0</v>
      </c>
      <c r="E88" s="182">
        <f>IFERROR(E86*E87,0)</f>
        <v>0</v>
      </c>
      <c r="F88" s="182">
        <f>IFERROR(E88-D88,0)</f>
        <v>0</v>
      </c>
      <c r="G88" s="36" t="str">
        <f>IF(E88&lt;=0,"🔴 NEGATIVE EBITDA",IF(E88&lt;D88*0.5,"🟠 EBITDA halved","✓ Holding"))</f>
        <v>🔴 NEGATIVE EBITDA</v>
      </c>
      <c r="H88" s="179" t="s">
        <v>1303</v>
      </c>
    </row>
    <row r="89" spans="2:8" ht="21.75" customHeight="1" x14ac:dyDescent="0.55000000000000004">
      <c r="B89" s="180" t="s">
        <v>1304</v>
      </c>
      <c r="C89" s="181" t="s">
        <v>1305</v>
      </c>
      <c r="D89" s="184">
        <f>C22</f>
        <v>0</v>
      </c>
      <c r="E89" s="184">
        <f>IFERROR(C22+INDEX($E$77:$E$82,MATCH($C$71,$B$77:$B$82,0))*$C$72,0)</f>
        <v>20</v>
      </c>
      <c r="F89" s="184">
        <f>IFERROR(E89-D89,0)</f>
        <v>20</v>
      </c>
      <c r="G89" s="36" t="str">
        <f>IF(F89&gt;30,"🔴 DSO stretches &gt;30d",IF(F89&gt;15,"🟠 DSO stretches &gt;15d","✓ Manageable"))</f>
        <v>🟠 DSO stretches &gt;15d</v>
      </c>
      <c r="H89" s="179" t="s">
        <v>1306</v>
      </c>
    </row>
    <row r="90" spans="2:8" ht="21.75" customHeight="1" x14ac:dyDescent="0.55000000000000004">
      <c r="B90" s="180" t="s">
        <v>1307</v>
      </c>
      <c r="C90" s="181" t="s">
        <v>1308</v>
      </c>
      <c r="D90" s="184">
        <f>C23</f>
        <v>0</v>
      </c>
      <c r="E90" s="184">
        <f>IFERROR(C23+INDEX($F$77:$F$82,MATCH($C$71,$B$77:$B$82,0))*$C$72,0)</f>
        <v>15</v>
      </c>
      <c r="F90" s="184">
        <f>IFERROR(E90-D90,0)</f>
        <v>15</v>
      </c>
      <c r="G90" s="36" t="str">
        <f>IF(F90&gt;20,"🔴 Inventory bloats &gt;20d",IF(F90&gt;10,"🟠 Inventory bloats &gt;10d","✓ OK"))</f>
        <v>🟠 Inventory bloats &gt;10d</v>
      </c>
      <c r="H90" s="179" t="s">
        <v>1309</v>
      </c>
    </row>
    <row r="91" spans="2:8" ht="21.75" customHeight="1" x14ac:dyDescent="0.55000000000000004">
      <c r="B91" s="180" t="s">
        <v>1310</v>
      </c>
      <c r="C91" s="181" t="s">
        <v>1311</v>
      </c>
      <c r="D91" s="182">
        <v>0</v>
      </c>
      <c r="E91" s="182">
        <f>IFERROR((F89+F90)*E86/365,0)</f>
        <v>0</v>
      </c>
      <c r="F91" s="182">
        <f>E91</f>
        <v>0</v>
      </c>
      <c r="G91" s="36" t="str">
        <f>IF(E91&gt;C15*0.3,"🔴 WC gap &gt;30% of existing STBB",IF(E91&gt;C15*0.1,"🟠 WC gap &gt;10%","✓ Absorbable"))</f>
        <v>✓ Absorbable</v>
      </c>
      <c r="H91" s="179" t="s">
        <v>1312</v>
      </c>
    </row>
    <row r="92" spans="2:8" ht="21.75" customHeight="1" x14ac:dyDescent="0.55000000000000004">
      <c r="B92" s="180" t="s">
        <v>1313</v>
      </c>
      <c r="C92" s="181" t="s">
        <v>1314</v>
      </c>
      <c r="D92" s="182">
        <f>C15</f>
        <v>0</v>
      </c>
      <c r="E92" s="182">
        <f>IFERROR(C15+E91,0)</f>
        <v>0</v>
      </c>
      <c r="F92" s="182">
        <f>IFERROR(E92-D92,0)</f>
        <v>0</v>
      </c>
      <c r="G92" s="36" t="str">
        <f>IF(F92&gt;C15*0.5,"🔴 STBB up &gt;50%",IF(F92&gt;C15*0.2,"🟠 STBB up &gt;20%","✓ Modest"))</f>
        <v>✓ Modest</v>
      </c>
      <c r="H92" s="179" t="s">
        <v>1315</v>
      </c>
    </row>
    <row r="93" spans="2:8" ht="21.75" customHeight="1" x14ac:dyDescent="0.55000000000000004">
      <c r="B93" s="180" t="s">
        <v>1316</v>
      </c>
      <c r="C93" s="181" t="s">
        <v>1317</v>
      </c>
      <c r="D93" s="182">
        <f>C10</f>
        <v>0</v>
      </c>
      <c r="E93" s="182">
        <f>IFERROR((C16+E91)*(IFERROR(C10/C16,0)+INDEX($G$77:$G$82,MATCH($C$71,$B$77:$B$82,0))*$C$72),0)</f>
        <v>0</v>
      </c>
      <c r="F93" s="182">
        <f>IFERROR(E93-D93,0)</f>
        <v>0</v>
      </c>
      <c r="G93" s="36" t="str">
        <f>IF(E93&gt;E88,"🔴 Interest &gt; stressed EBITDA",IF(E93&gt;D93*1.5,"🟠 Interest up &gt;50%","✓ Manageable"))</f>
        <v>✓ Manageable</v>
      </c>
      <c r="H93" s="179" t="s">
        <v>1318</v>
      </c>
    </row>
    <row r="94" spans="2:8" ht="21.75" customHeight="1" x14ac:dyDescent="0.55000000000000004">
      <c r="B94" s="180" t="s">
        <v>1319</v>
      </c>
      <c r="C94" s="181" t="s">
        <v>1320</v>
      </c>
      <c r="D94" s="182">
        <f>C13</f>
        <v>0</v>
      </c>
      <c r="E94" s="182">
        <f>IFERROR(MAX(0,(E88-C9-E93))*0.75+C9,0)</f>
        <v>0</v>
      </c>
      <c r="F94" s="182">
        <f>IFERROR(E94-D94,0)</f>
        <v>0</v>
      </c>
      <c r="G94" s="36" t="str">
        <f>IF(E94&lt;=0,"🔴 Cash accruals collapse",IF(E94&lt;C12,"🟠 Insufficient for instalments","✓ Adequate"))</f>
        <v>🔴 Cash accruals collapse</v>
      </c>
      <c r="H94" s="179" t="s">
        <v>1321</v>
      </c>
    </row>
    <row r="95" spans="2:8" ht="21.75" customHeight="1" x14ac:dyDescent="0.55000000000000004">
      <c r="B95" s="180" t="s">
        <v>1322</v>
      </c>
      <c r="C95" s="181" t="s">
        <v>1323</v>
      </c>
      <c r="D95" s="185">
        <f>C19</f>
        <v>0</v>
      </c>
      <c r="E95" s="185">
        <f>IFERROR((E94+C11+C14*INDEX($G$77:$G$82,MATCH($C$71,$B$77:$B$82,0))*$C$72)/(C12+C11+C14*INDEX($G$77:$G$82,MATCH($C$71,$B$77:$B$82,0))*$C$72),0)</f>
        <v>0</v>
      </c>
      <c r="F95" s="185">
        <f>IFERROR(E95-D95,0)</f>
        <v>0</v>
      </c>
      <c r="G95" s="36" t="str">
        <f>IF(E95&lt;1,"🔴 DSCR&lt;1: cannot service term debt",IF(E95&lt;MinDSCR_Any,"🟠 DSCR&lt;MinDSCR covenant breach",IF(E95&lt;1.5,"🟡 Tight but adequate","✓ Healthy")))</f>
        <v>🔴 DSCR&lt;1: cannot service term debt</v>
      </c>
      <c r="H95" s="179" t="s">
        <v>1324</v>
      </c>
    </row>
    <row r="97" spans="2:8" ht="15" customHeight="1" x14ac:dyDescent="0.55000000000000004">
      <c r="B97" s="326" t="s">
        <v>1325</v>
      </c>
      <c r="C97" s="326"/>
      <c r="D97" s="326"/>
      <c r="E97" s="326"/>
      <c r="F97" s="326"/>
      <c r="G97" s="326"/>
      <c r="H97" s="326"/>
    </row>
    <row r="98" spans="2:8" ht="15" customHeight="1" x14ac:dyDescent="0.55000000000000004">
      <c r="B98" s="186" t="s">
        <v>1326</v>
      </c>
      <c r="C98" s="187">
        <f>E95</f>
        <v>0</v>
      </c>
      <c r="D98" s="188" t="s">
        <v>753</v>
      </c>
      <c r="E98" s="328" t="str">
        <f>IF(C98&lt;1,"🔴 DEBT SERVICE FAILURE",IF(C98&lt;MinDSCR_Any,"🔴 COVENANT BREACH",IF(C98&lt;1.5,"🟡 SURVIVES BUT TIGHT","✓ RESILIENT")))</f>
        <v>🔴 DEBT SERVICE FAILURE</v>
      </c>
      <c r="F98" s="328"/>
      <c r="G98" s="328"/>
      <c r="H98" s="328"/>
    </row>
    <row r="99" spans="2:8" ht="55.5" customHeight="1" x14ac:dyDescent="0.55000000000000004">
      <c r="B99" s="329" t="str">
        <f>"Under '"&amp;$C$71&amp;"' at "&amp;TEXT($C$72,"0%")&amp;" severity, the cascade compresses EBITDA from ₹"&amp;TEXT(D88,"#,##0")&amp;" Cr to ₹"&amp;TEXT(E88,"#,##0")&amp;" Cr"&amp;IF(E88&lt;=0," (turning NEGATIVE — operating loss)"," ("&amp;TEXT((E88/D88-1),"0%")&amp;" change)")&amp;", inflates DSO by "&amp;TEXT(F89,"0")&amp;"d and inventory by "&amp;TEXT(F90,"0")&amp;"d (creating ₹"&amp;TEXT(E91,"#,##0")&amp;" Cr WC gap), driving interest from ₹"&amp;TEXT(D93,"#,##0")&amp;" Cr to ₹"&amp;TEXT(E93,"#,##0")&amp;" Cr. Net result: DSCR moves from "&amp;TEXT(D95,"0.00x")&amp;" to "&amp;TEXT(E95,"0.00x")&amp;". "&amp;IF(E95&lt;1,"DEBT SERVICE FAILURE — borrower cannot meet obligations.",IF(E95&lt;MinDSCR_Any,"COVENANT BREACH — restructuring or fresh equity required.",IF(E95&lt;1.5,"Survives but on tight margin — recommend covenants and quarterly monitoring.","Borrower demonstrates structural resilience under this scenario.")))</f>
        <v>Under 'Brent Oil Shock' at 100% severity, the cascade compresses EBITDA from ₹0 Cr to ₹0 Cr (turning NEGATIVE — operating loss), inflates DSO by 20d and inventory by 15d (creating ₹0 Cr WC gap), driving interest from ₹0 Cr to ₹0 Cr. Net result: DSCR moves from 0.00x to 0.00x. DEBT SERVICE FAILURE — borrower cannot meet obligations.</v>
      </c>
      <c r="C99" s="329"/>
      <c r="D99" s="329"/>
      <c r="E99" s="329"/>
      <c r="F99" s="329"/>
      <c r="G99" s="329"/>
      <c r="H99" s="329"/>
    </row>
    <row r="101" spans="2:8" ht="15" customHeight="1" x14ac:dyDescent="0.55000000000000004">
      <c r="B101" s="326" t="s">
        <v>1327</v>
      </c>
      <c r="C101" s="326"/>
      <c r="D101" s="326"/>
      <c r="E101" s="326"/>
      <c r="F101" s="326"/>
      <c r="G101" s="326"/>
      <c r="H101" s="326"/>
    </row>
    <row r="102" spans="2:8" ht="15" customHeight="1" x14ac:dyDescent="0.55000000000000004">
      <c r="B102" s="189" t="s">
        <v>1328</v>
      </c>
      <c r="C102" s="190">
        <v>0</v>
      </c>
      <c r="D102" s="190">
        <v>0.25</v>
      </c>
      <c r="E102" s="190">
        <v>0.5</v>
      </c>
      <c r="F102" s="190">
        <v>0.75</v>
      </c>
      <c r="G102" s="190">
        <v>1</v>
      </c>
      <c r="H102" s="190">
        <v>1.5</v>
      </c>
    </row>
    <row r="103" spans="2:8" ht="15" customHeight="1" x14ac:dyDescent="0.55000000000000004">
      <c r="B103" s="171" t="s">
        <v>1329</v>
      </c>
      <c r="C103" s="191">
        <f>IFERROR(((MAX(0,((C6*(1+INDEX($C$77:$C$82,MATCH($C$71,$B$77:$B$82,0))*C$102))*(C8+INDEX($D$77:$D$82,MATCH($C$71,$B$77:$B$82,0))*C$102))-C9-((C16+(((INDEX($E$77:$E$82,MATCH($C$71,$B$77:$B$82,0))*C$102)+(INDEX($F$77:$F$82,MATCH($C$71,$B$77:$B$82,0))*C$102))*(C6*(1+INDEX($C$77:$C$82,MATCH($C$71,$B$77:$B$82,0))*C$102))/365))*(IFERROR(C10/C16,0)+(INDEX($G$77:$G$82,MATCH($C$71,$B$77:$B$82,0))*C$102))))*0.75+C9)+(C11+C14*(INDEX($G$77:$G$82,MATCH($C$71,$B$77:$B$82,0))*C$102)))/(C12+(C11+C14*(INDEX($G$77:$G$82,MATCH($C$71,$B$77:$B$82,0))*C$102))),0)</f>
        <v>0</v>
      </c>
      <c r="D103" s="191">
        <f>IFERROR(((MAX(0,((C6*(1+INDEX($C$77:$C$82,MATCH($C$71,$B$77:$B$82,0))*D$102))*(C8+INDEX($D$77:$D$82,MATCH($C$71,$B$77:$B$82,0))*D$102))-C9-((C16+(((INDEX($E$77:$E$82,MATCH($C$71,$B$77:$B$82,0))*D$102)+(INDEX($F$77:$F$82,MATCH($C$71,$B$77:$B$82,0))*D$102))*(C6*(1+INDEX($C$77:$C$82,MATCH($C$71,$B$77:$B$82,0))*D$102))/365))*(IFERROR(C10/C16,0)+(INDEX($G$77:$G$82,MATCH($C$71,$B$77:$B$82,0))*D$102))))*0.75+C9)+(C11+C14*(INDEX($G$77:$G$82,MATCH($C$71,$B$77:$B$82,0))*D$102)))/(C12+(C11+C14*(INDEX($G$77:$G$82,MATCH($C$71,$B$77:$B$82,0))*D$102))),0)</f>
        <v>0</v>
      </c>
      <c r="E103" s="191">
        <f>IFERROR(((MAX(0,((C6*(1+INDEX($C$77:$C$82,MATCH($C$71,$B$77:$B$82,0))*E$102))*(C8+INDEX($D$77:$D$82,MATCH($C$71,$B$77:$B$82,0))*E$102))-C9-((C16+(((INDEX($E$77:$E$82,MATCH($C$71,$B$77:$B$82,0))*E$102)+(INDEX($F$77:$F$82,MATCH($C$71,$B$77:$B$82,0))*E$102))*(C6*(1+INDEX($C$77:$C$82,MATCH($C$71,$B$77:$B$82,0))*E$102))/365))*(IFERROR(C10/C16,0)+(INDEX($G$77:$G$82,MATCH($C$71,$B$77:$B$82,0))*E$102))))*0.75+C9)+(C11+C14*(INDEX($G$77:$G$82,MATCH($C$71,$B$77:$B$82,0))*E$102)))/(C12+(C11+C14*(INDEX($G$77:$G$82,MATCH($C$71,$B$77:$B$82,0))*E$102))),0)</f>
        <v>0</v>
      </c>
      <c r="F103" s="191">
        <f>IFERROR(((MAX(0,((C6*(1+INDEX($C$77:$C$82,MATCH($C$71,$B$77:$B$82,0))*F$102))*(C8+INDEX($D$77:$D$82,MATCH($C$71,$B$77:$B$82,0))*F$102))-C9-((C16+(((INDEX($E$77:$E$82,MATCH($C$71,$B$77:$B$82,0))*F$102)+(INDEX($F$77:$F$82,MATCH($C$71,$B$77:$B$82,0))*F$102))*(C6*(1+INDEX($C$77:$C$82,MATCH($C$71,$B$77:$B$82,0))*F$102))/365))*(IFERROR(C10/C16,0)+(INDEX($G$77:$G$82,MATCH($C$71,$B$77:$B$82,0))*F$102))))*0.75+C9)+(C11+C14*(INDEX($G$77:$G$82,MATCH($C$71,$B$77:$B$82,0))*F$102)))/(C12+(C11+C14*(INDEX($G$77:$G$82,MATCH($C$71,$B$77:$B$82,0))*F$102))),0)</f>
        <v>0</v>
      </c>
      <c r="G103" s="191">
        <f>IFERROR(((MAX(0,((C6*(1+INDEX($C$77:$C$82,MATCH($C$71,$B$77:$B$82,0))*G$102))*(C8+INDEX($D$77:$D$82,MATCH($C$71,$B$77:$B$82,0))*G$102))-C9-((C16+(((INDEX($E$77:$E$82,MATCH($C$71,$B$77:$B$82,0))*G$102)+(INDEX($F$77:$F$82,MATCH($C$71,$B$77:$B$82,0))*G$102))*(C6*(1+INDEX($C$77:$C$82,MATCH($C$71,$B$77:$B$82,0))*G$102))/365))*(IFERROR(C10/C16,0)+(INDEX($G$77:$G$82,MATCH($C$71,$B$77:$B$82,0))*G$102))))*0.75+C9)+(C11+C14*(INDEX($G$77:$G$82,MATCH($C$71,$B$77:$B$82,0))*G$102)))/(C12+(C11+C14*(INDEX($G$77:$G$82,MATCH($C$71,$B$77:$B$82,0))*G$102))),0)</f>
        <v>0</v>
      </c>
      <c r="H103" s="191">
        <f>IFERROR(((MAX(0,((C6*(1+INDEX($C$77:$C$82,MATCH($C$71,$B$77:$B$82,0))*H$102))*(C8+INDEX($D$77:$D$82,MATCH($C$71,$B$77:$B$82,0))*H$102))-C9-((C16+(((INDEX($E$77:$E$82,MATCH($C$71,$B$77:$B$82,0))*H$102)+(INDEX($F$77:$F$82,MATCH($C$71,$B$77:$B$82,0))*H$102))*(C6*(1+INDEX($C$77:$C$82,MATCH($C$71,$B$77:$B$82,0))*H$102))/365))*(IFERROR(C10/C16,0)+(INDEX($G$77:$G$82,MATCH($C$71,$B$77:$B$82,0))*H$102))))*0.75+C9)+(C11+C14*(INDEX($G$77:$G$82,MATCH($C$71,$B$77:$B$82,0))*H$102)))/(C12+(C11+C14*(INDEX($G$77:$G$82,MATCH($C$71,$B$77:$B$82,0))*H$102))),0)</f>
        <v>0</v>
      </c>
    </row>
    <row r="104" spans="2:8" ht="15" customHeight="1" x14ac:dyDescent="0.55000000000000004">
      <c r="B104" t="s">
        <v>1258</v>
      </c>
      <c r="C104" s="34" t="str">
        <f t="shared" ref="C104:H104" si="0">IF(C103&lt;1,"🔴 FAIL",IF(C103&lt;MinDSCR_Any,"🟠 BREACH",IF(C103&lt;1.5,"🟡 TIGHT","✓ OK")))</f>
        <v>🔴 FAIL</v>
      </c>
      <c r="D104" s="34" t="str">
        <f t="shared" si="0"/>
        <v>🔴 FAIL</v>
      </c>
      <c r="E104" s="34" t="str">
        <f t="shared" si="0"/>
        <v>🔴 FAIL</v>
      </c>
      <c r="F104" s="34" t="str">
        <f t="shared" si="0"/>
        <v>🔴 FAIL</v>
      </c>
      <c r="G104" s="34" t="str">
        <f t="shared" si="0"/>
        <v>🔴 FAIL</v>
      </c>
      <c r="H104" s="34" t="str">
        <f t="shared" si="0"/>
        <v>🔴 FAIL</v>
      </c>
    </row>
    <row r="105" spans="2:8" ht="15" customHeight="1" x14ac:dyDescent="0.55000000000000004">
      <c r="B105" s="171" t="s">
        <v>1330</v>
      </c>
      <c r="C105" s="330" t="str">
        <f>IFERROR(IF(MIN(C103:H103)&gt;=1,"✓ Survives all 6 severity levels (up to 150%)",INDEX(C102:H102,MATCH(TRUE(),C103:H103&lt;1,0))&amp;" severity → DSCR breaches 1.0"),"⚠ Insufficient data")</f>
        <v>⚠ Insufficient data</v>
      </c>
      <c r="D105" s="330"/>
      <c r="E105" s="330"/>
      <c r="F105" s="330"/>
      <c r="G105" s="330"/>
      <c r="H105" s="330"/>
    </row>
    <row r="107" spans="2:8" ht="15" customHeight="1" x14ac:dyDescent="0.55000000000000004">
      <c r="B107" s="326" t="s">
        <v>1331</v>
      </c>
      <c r="C107" s="326"/>
      <c r="D107" s="326"/>
      <c r="E107" s="326"/>
      <c r="F107" s="326"/>
      <c r="G107" s="326"/>
      <c r="H107" s="326"/>
    </row>
    <row r="108" spans="2:8" ht="21.75" customHeight="1" x14ac:dyDescent="0.55000000000000004">
      <c r="B108" s="325" t="s">
        <v>1332</v>
      </c>
      <c r="C108" s="325"/>
      <c r="D108" s="325"/>
      <c r="E108" s="325"/>
      <c r="F108" s="325"/>
      <c r="G108" s="325"/>
      <c r="H108" s="325"/>
    </row>
    <row r="109" spans="2:8" ht="13.5" customHeight="1" x14ac:dyDescent="0.55000000000000004">
      <c r="B109" s="325"/>
      <c r="C109" s="325"/>
      <c r="D109" s="325"/>
      <c r="E109" s="325"/>
      <c r="F109" s="325"/>
      <c r="G109" s="325"/>
      <c r="H109" s="325"/>
    </row>
    <row r="110" spans="2:8" ht="13.5" customHeight="1" x14ac:dyDescent="0.55000000000000004">
      <c r="B110" s="325" t="s">
        <v>1333</v>
      </c>
      <c r="C110" s="325"/>
      <c r="D110" s="325"/>
      <c r="E110" s="325"/>
      <c r="F110" s="325"/>
      <c r="G110" s="325"/>
      <c r="H110" s="325"/>
    </row>
    <row r="111" spans="2:8" ht="21.75" customHeight="1" x14ac:dyDescent="0.55000000000000004">
      <c r="B111" s="325" t="s">
        <v>1334</v>
      </c>
      <c r="C111" s="325"/>
      <c r="D111" s="325"/>
      <c r="E111" s="325"/>
      <c r="F111" s="325"/>
      <c r="G111" s="325"/>
      <c r="H111" s="325"/>
    </row>
    <row r="112" spans="2:8" ht="21.75" customHeight="1" x14ac:dyDescent="0.55000000000000004">
      <c r="B112" s="325" t="s">
        <v>1335</v>
      </c>
      <c r="C112" s="325"/>
      <c r="D112" s="325"/>
      <c r="E112" s="325"/>
      <c r="F112" s="325"/>
      <c r="G112" s="325"/>
      <c r="H112" s="325"/>
    </row>
    <row r="113" spans="2:8" ht="21.75" customHeight="1" x14ac:dyDescent="0.55000000000000004">
      <c r="B113" s="325" t="s">
        <v>1336</v>
      </c>
      <c r="C113" s="325"/>
      <c r="D113" s="325"/>
      <c r="E113" s="325"/>
      <c r="F113" s="325"/>
      <c r="G113" s="325"/>
      <c r="H113" s="325"/>
    </row>
    <row r="114" spans="2:8" ht="21.75" customHeight="1" x14ac:dyDescent="0.55000000000000004">
      <c r="B114" s="325" t="s">
        <v>1337</v>
      </c>
      <c r="C114" s="325"/>
      <c r="D114" s="325"/>
      <c r="E114" s="325"/>
      <c r="F114" s="325"/>
      <c r="G114" s="325"/>
      <c r="H114" s="325"/>
    </row>
    <row r="115" spans="2:8" ht="21.75" customHeight="1" x14ac:dyDescent="0.55000000000000004">
      <c r="B115" s="325" t="s">
        <v>1338</v>
      </c>
      <c r="C115" s="325"/>
      <c r="D115" s="325"/>
      <c r="E115" s="325"/>
      <c r="F115" s="325"/>
      <c r="G115" s="325"/>
      <c r="H115" s="325"/>
    </row>
  </sheetData>
  <mergeCells count="36">
    <mergeCell ref="B115:H115"/>
    <mergeCell ref="B110:H110"/>
    <mergeCell ref="B111:H111"/>
    <mergeCell ref="B112:H112"/>
    <mergeCell ref="B113:H113"/>
    <mergeCell ref="B114:H114"/>
    <mergeCell ref="B101:H101"/>
    <mergeCell ref="C105:H105"/>
    <mergeCell ref="B107:H107"/>
    <mergeCell ref="B108:H108"/>
    <mergeCell ref="B109:H109"/>
    <mergeCell ref="B75:H75"/>
    <mergeCell ref="B84:H84"/>
    <mergeCell ref="B97:H97"/>
    <mergeCell ref="E98:H98"/>
    <mergeCell ref="B99:H99"/>
    <mergeCell ref="A67:H67"/>
    <mergeCell ref="A68:H68"/>
    <mergeCell ref="B70:H70"/>
    <mergeCell ref="D71:H71"/>
    <mergeCell ref="D72:H72"/>
    <mergeCell ref="B47:H47"/>
    <mergeCell ref="A49:H49"/>
    <mergeCell ref="A50:H50"/>
    <mergeCell ref="B58:G58"/>
    <mergeCell ref="B65:G65"/>
    <mergeCell ref="B25:H25"/>
    <mergeCell ref="A32:H32"/>
    <mergeCell ref="B33:H33"/>
    <mergeCell ref="A45:H45"/>
    <mergeCell ref="B46:H46"/>
    <mergeCell ref="A1:H1"/>
    <mergeCell ref="A2:H2"/>
    <mergeCell ref="A3:H3"/>
    <mergeCell ref="B4:H4"/>
    <mergeCell ref="A24:H24"/>
  </mergeCells>
  <dataValidations count="1">
    <dataValidation type="list" sqref="C71" xr:uid="{00000000-0002-0000-1300-000000000000}">
      <formula1>"Brent Oil Shock,Supply Chain Disruption,Rate Hike 200bps,Demand Slump,INR Depreciation,Recession"</formula1>
      <formula2>0</formula2>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3"/>
  <sheetViews>
    <sheetView zoomScaleNormal="100" workbookViewId="0">
      <selection sqref="A1:I1"/>
    </sheetView>
  </sheetViews>
  <sheetFormatPr defaultColWidth="8.68359375" defaultRowHeight="14.4" x14ac:dyDescent="0.55000000000000004"/>
  <cols>
    <col min="1" max="1" width="3" customWidth="1"/>
    <col min="2" max="2" width="16" customWidth="1"/>
    <col min="3" max="3" width="30" customWidth="1"/>
    <col min="4" max="4" width="10" customWidth="1"/>
    <col min="5" max="5" width="12" customWidth="1"/>
    <col min="6" max="7" width="13" customWidth="1"/>
    <col min="8" max="8" width="30" customWidth="1"/>
    <col min="9" max="9" width="3" customWidth="1"/>
  </cols>
  <sheetData>
    <row r="1" spans="1:9" ht="31.5" customHeight="1" x14ac:dyDescent="0.55000000000000004">
      <c r="A1" s="320" t="s">
        <v>1339</v>
      </c>
      <c r="B1" s="320"/>
      <c r="C1" s="320"/>
      <c r="D1" s="320"/>
      <c r="E1" s="320"/>
      <c r="F1" s="320"/>
      <c r="G1" s="320"/>
      <c r="H1" s="320"/>
      <c r="I1" s="320"/>
    </row>
    <row r="2" spans="1:9" ht="19.5" customHeight="1" x14ac:dyDescent="0.55000000000000004">
      <c r="A2" s="292" t="str">
        <f>IF(BorrowerName="","Borrower: [Not Set]","Borrower: "&amp;BorrowerName)&amp;"  |  Industry: "&amp;IF(IndustryName="","—",IndustryName)&amp;"  |  Pillar weights: E 40% · S 25% · G 35%"</f>
        <v>Borrower: [Not Set]  |  Industry: —  |  Pillar weights: E 40% · S 25% · G 35%</v>
      </c>
      <c r="B2" s="292"/>
      <c r="C2" s="292"/>
      <c r="D2" s="292"/>
      <c r="E2" s="292"/>
      <c r="F2" s="292"/>
      <c r="G2" s="292"/>
      <c r="H2" s="292"/>
      <c r="I2" s="292"/>
    </row>
    <row r="3" spans="1:9" ht="6" customHeight="1" x14ac:dyDescent="0.55000000000000004">
      <c r="A3" s="10"/>
      <c r="B3" s="10"/>
      <c r="C3" s="10"/>
      <c r="D3" s="10"/>
      <c r="E3" s="10"/>
      <c r="F3" s="10"/>
      <c r="G3" s="10"/>
      <c r="H3" s="10"/>
      <c r="I3" s="10"/>
    </row>
    <row r="4" spans="1:9" ht="24" customHeight="1" x14ac:dyDescent="0.55000000000000004">
      <c r="B4" s="166" t="s">
        <v>1340</v>
      </c>
      <c r="C4" s="166" t="s">
        <v>1341</v>
      </c>
      <c r="D4" s="166" t="s">
        <v>77</v>
      </c>
      <c r="E4" s="166" t="s">
        <v>1342</v>
      </c>
      <c r="F4" s="166" t="s">
        <v>1343</v>
      </c>
      <c r="G4" s="166" t="s">
        <v>6</v>
      </c>
      <c r="H4" s="166" t="s">
        <v>1344</v>
      </c>
    </row>
    <row r="5" spans="1:9" ht="27.75" customHeight="1" x14ac:dyDescent="0.55000000000000004">
      <c r="B5" s="192" t="s">
        <v>1345</v>
      </c>
      <c r="C5" s="193" t="s">
        <v>1346</v>
      </c>
      <c r="D5" s="194">
        <v>0.15</v>
      </c>
      <c r="E5" s="195">
        <v>5</v>
      </c>
      <c r="F5" s="196">
        <f t="shared" ref="F5:F12" si="0">D5*E5</f>
        <v>0.75</v>
      </c>
      <c r="G5" s="22" t="str">
        <f t="shared" ref="G5:G12" si="1">IF(E5&gt;=8,"🟢 STRONG",IF(E5&gt;=6,"🟡 ADEQUATE",IF(E5&gt;=4,"⚠ WEAK","🔴 POOR")))</f>
        <v>⚠ WEAK</v>
      </c>
      <c r="H5" s="48" t="s">
        <v>1347</v>
      </c>
    </row>
    <row r="6" spans="1:9" ht="27.75" customHeight="1" x14ac:dyDescent="0.55000000000000004">
      <c r="B6" s="192" t="s">
        <v>1345</v>
      </c>
      <c r="C6" s="193" t="s">
        <v>1348</v>
      </c>
      <c r="D6" s="194">
        <v>0.1</v>
      </c>
      <c r="E6" s="195">
        <v>5</v>
      </c>
      <c r="F6" s="196">
        <f t="shared" si="0"/>
        <v>0.5</v>
      </c>
      <c r="G6" s="22" t="str">
        <f t="shared" si="1"/>
        <v>⚠ WEAK</v>
      </c>
      <c r="H6" s="48" t="s">
        <v>1349</v>
      </c>
    </row>
    <row r="7" spans="1:9" ht="27.75" customHeight="1" x14ac:dyDescent="0.55000000000000004">
      <c r="B7" s="192" t="s">
        <v>1345</v>
      </c>
      <c r="C7" s="193" t="s">
        <v>1350</v>
      </c>
      <c r="D7" s="194">
        <v>0.15</v>
      </c>
      <c r="E7" s="195">
        <v>5</v>
      </c>
      <c r="F7" s="196">
        <f t="shared" si="0"/>
        <v>0.75</v>
      </c>
      <c r="G7" s="22" t="str">
        <f t="shared" si="1"/>
        <v>⚠ WEAK</v>
      </c>
      <c r="H7" s="48" t="s">
        <v>1351</v>
      </c>
    </row>
    <row r="8" spans="1:9" ht="27.75" customHeight="1" x14ac:dyDescent="0.55000000000000004">
      <c r="B8" s="197" t="s">
        <v>1352</v>
      </c>
      <c r="C8" s="193" t="s">
        <v>1353</v>
      </c>
      <c r="D8" s="194">
        <v>0.1</v>
      </c>
      <c r="E8" s="195">
        <v>5</v>
      </c>
      <c r="F8" s="196">
        <f t="shared" si="0"/>
        <v>0.5</v>
      </c>
      <c r="G8" s="22" t="str">
        <f t="shared" si="1"/>
        <v>⚠ WEAK</v>
      </c>
      <c r="H8" s="48" t="s">
        <v>1354</v>
      </c>
    </row>
    <row r="9" spans="1:9" ht="27.75" customHeight="1" x14ac:dyDescent="0.55000000000000004">
      <c r="B9" s="197" t="s">
        <v>1352</v>
      </c>
      <c r="C9" s="193" t="s">
        <v>1355</v>
      </c>
      <c r="D9" s="194">
        <v>0.15</v>
      </c>
      <c r="E9" s="195">
        <v>5</v>
      </c>
      <c r="F9" s="196">
        <f t="shared" si="0"/>
        <v>0.75</v>
      </c>
      <c r="G9" s="22" t="str">
        <f t="shared" si="1"/>
        <v>⚠ WEAK</v>
      </c>
      <c r="H9" s="48" t="s">
        <v>1356</v>
      </c>
    </row>
    <row r="10" spans="1:9" ht="27.75" customHeight="1" x14ac:dyDescent="0.55000000000000004">
      <c r="B10" s="198" t="s">
        <v>1357</v>
      </c>
      <c r="C10" s="193" t="s">
        <v>1358</v>
      </c>
      <c r="D10" s="194">
        <v>0.15</v>
      </c>
      <c r="E10" s="195">
        <v>5</v>
      </c>
      <c r="F10" s="196">
        <f t="shared" si="0"/>
        <v>0.75</v>
      </c>
      <c r="G10" s="22" t="str">
        <f t="shared" si="1"/>
        <v>⚠ WEAK</v>
      </c>
      <c r="H10" s="48" t="s">
        <v>1359</v>
      </c>
    </row>
    <row r="11" spans="1:9" ht="27.75" customHeight="1" x14ac:dyDescent="0.55000000000000004">
      <c r="B11" s="198" t="s">
        <v>1357</v>
      </c>
      <c r="C11" s="193" t="s">
        <v>1360</v>
      </c>
      <c r="D11" s="194">
        <v>0.1</v>
      </c>
      <c r="E11" s="195">
        <v>5</v>
      </c>
      <c r="F11" s="196">
        <f t="shared" si="0"/>
        <v>0.5</v>
      </c>
      <c r="G11" s="22" t="str">
        <f t="shared" si="1"/>
        <v>⚠ WEAK</v>
      </c>
      <c r="H11" s="48" t="s">
        <v>1361</v>
      </c>
    </row>
    <row r="12" spans="1:9" ht="27.75" customHeight="1" x14ac:dyDescent="0.55000000000000004">
      <c r="B12" s="198" t="s">
        <v>1357</v>
      </c>
      <c r="C12" s="193" t="s">
        <v>1362</v>
      </c>
      <c r="D12" s="194">
        <v>0.1</v>
      </c>
      <c r="E12" s="195">
        <v>5</v>
      </c>
      <c r="F12" s="196">
        <f t="shared" si="0"/>
        <v>0.5</v>
      </c>
      <c r="G12" s="22" t="str">
        <f t="shared" si="1"/>
        <v>⚠ WEAK</v>
      </c>
      <c r="H12" s="48" t="s">
        <v>1363</v>
      </c>
    </row>
    <row r="13" spans="1:9" ht="6" customHeight="1" x14ac:dyDescent="0.55000000000000004">
      <c r="A13" s="10"/>
      <c r="B13" s="10"/>
      <c r="C13" s="10"/>
      <c r="D13" s="10"/>
      <c r="E13" s="10"/>
      <c r="F13" s="10"/>
      <c r="G13" s="10"/>
      <c r="H13" s="10"/>
      <c r="I13" s="10"/>
    </row>
    <row r="14" spans="1:9" ht="15.75" customHeight="1" x14ac:dyDescent="0.55000000000000004">
      <c r="B14" s="8" t="s">
        <v>1364</v>
      </c>
      <c r="C14" s="8"/>
      <c r="D14" s="17" t="s">
        <v>1365</v>
      </c>
      <c r="E14" s="17" t="s">
        <v>1366</v>
      </c>
      <c r="F14" s="17" t="s">
        <v>1343</v>
      </c>
      <c r="G14" s="17" t="s">
        <v>1367</v>
      </c>
      <c r="H14" s="18" t="s">
        <v>1368</v>
      </c>
    </row>
    <row r="15" spans="1:9" ht="19.5" customHeight="1" x14ac:dyDescent="0.55000000000000004">
      <c r="B15" s="331" t="s">
        <v>1345</v>
      </c>
      <c r="C15" s="331"/>
      <c r="D15" s="199">
        <f>SUM(D5,D6,D7)</f>
        <v>0.4</v>
      </c>
      <c r="E15" s="200">
        <f>AVERAGE(E5,E6,E7)</f>
        <v>5</v>
      </c>
      <c r="F15" s="201">
        <f>SUM(F5,F6,F7)</f>
        <v>2</v>
      </c>
      <c r="G15" s="22" t="str">
        <f>IF(E15&gt;=7,"🟢 STRONG",IF(E15&gt;=5,"🟡 ADEQUATE","🔴 WEAK"))</f>
        <v>🟡 ADEQUATE</v>
      </c>
      <c r="H15" s="202" t="str">
        <f>"Avg pillar score: "&amp;TEXT(E15,"0.0")&amp;" /10. Weight: "&amp;TEXT(D15,"0.0%")</f>
        <v>Avg pillar score: 5.0 /10. Weight: 40.0%</v>
      </c>
    </row>
    <row r="16" spans="1:9" ht="19.5" customHeight="1" x14ac:dyDescent="0.55000000000000004">
      <c r="B16" s="332" t="s">
        <v>1352</v>
      </c>
      <c r="C16" s="332"/>
      <c r="D16" s="199">
        <f>SUM(D8,D9)</f>
        <v>0.25</v>
      </c>
      <c r="E16" s="200">
        <f>AVERAGE(E8,E9)</f>
        <v>5</v>
      </c>
      <c r="F16" s="203">
        <f>SUM(F8,F9)</f>
        <v>1.25</v>
      </c>
      <c r="G16" s="22" t="str">
        <f>IF(E16&gt;=7,"🟢 STRONG",IF(E16&gt;=5,"🟡 ADEQUATE","🔴 WEAK"))</f>
        <v>🟡 ADEQUATE</v>
      </c>
      <c r="H16" s="202" t="str">
        <f>"Avg pillar score: "&amp;TEXT(E16,"0.0")&amp;" /10. Weight: "&amp;TEXT(D16,"0.0%")</f>
        <v>Avg pillar score: 5.0 /10. Weight: 25.0%</v>
      </c>
    </row>
    <row r="17" spans="1:9" ht="19.5" customHeight="1" x14ac:dyDescent="0.55000000000000004">
      <c r="B17" s="333" t="s">
        <v>1357</v>
      </c>
      <c r="C17" s="333"/>
      <c r="D17" s="199">
        <f>SUM(D10,D11,D12)</f>
        <v>0.35</v>
      </c>
      <c r="E17" s="200">
        <f>AVERAGE(E10,E11,E12)</f>
        <v>5</v>
      </c>
      <c r="F17" s="204">
        <f>SUM(F10,F11,F12)</f>
        <v>1.75</v>
      </c>
      <c r="G17" s="22" t="str">
        <f>IF(E17&gt;=7,"🟢 STRONG",IF(E17&gt;=5,"🟡 ADEQUATE","🔴 WEAK"))</f>
        <v>🟡 ADEQUATE</v>
      </c>
      <c r="H17" s="202" t="str">
        <f>"Avg pillar score: "&amp;TEXT(E17,"0.0")&amp;" /10. Weight: "&amp;TEXT(D17,"0.0%")</f>
        <v>Avg pillar score: 5.0 /10. Weight: 35.0%</v>
      </c>
    </row>
    <row r="18" spans="1:9" ht="6" customHeight="1" x14ac:dyDescent="0.55000000000000004">
      <c r="A18" s="10"/>
      <c r="B18" s="10"/>
      <c r="C18" s="10"/>
      <c r="D18" s="10"/>
      <c r="E18" s="10"/>
      <c r="F18" s="10"/>
      <c r="G18" s="10"/>
      <c r="H18" s="10"/>
      <c r="I18" s="10"/>
    </row>
    <row r="19" spans="1:9" ht="25.5" customHeight="1" x14ac:dyDescent="0.55000000000000004">
      <c r="B19" s="315" t="s">
        <v>1369</v>
      </c>
      <c r="C19" s="315"/>
      <c r="D19" s="205" t="b">
        <f>IFERROR(IF(OR(ISNUMBER(SEARCH("Cement",IndustryName)),ISNUMBER(SEARCH("Steel",IndustryName)),ISNUMBER(SEARCH("Iron",IndustryName)),ISNUMBER(SEARCH("Coal",IndustryName)),ISNUMBER(SEARCH("Aluminum",IndustryName)),ISNUMBER(SEARCH("Aluminium",IndustryName)),ISNUMBER(SEARCH("Refining",IndustryName)),ISNUMBER(SEARCH("Petroleum",IndustryName)),ISNUMBER(SEARCH("Thermal Power",IndustryName)),ISNUMBER(SEARCH("Power Generation",IndustryName)),ISNUMBER(SEARCH("Chemicals",IndustryName))),TRUE(),FALSE()),FALSE())</f>
        <v>0</v>
      </c>
      <c r="E19" s="334" t="str">
        <f>IF(D19=TRUE(),"⚠ HARD-TO-ABATE — applying -10% transition penalty","✓ Standard sector — no penalty")</f>
        <v>✓ Standard sector — no penalty</v>
      </c>
      <c r="F19" s="334"/>
      <c r="G19" s="293" t="s">
        <v>1370</v>
      </c>
      <c r="H19" s="293"/>
      <c r="I19" s="293"/>
    </row>
    <row r="20" spans="1:9" ht="6" customHeight="1" x14ac:dyDescent="0.55000000000000004"/>
    <row r="21" spans="1:9" ht="31.5" customHeight="1" x14ac:dyDescent="0.55000000000000004">
      <c r="B21" s="308" t="s">
        <v>1371</v>
      </c>
      <c r="C21" s="308"/>
      <c r="D21" s="335">
        <f>ROUND(SUM(F5:F12)*10*IF(D19=TRUE(),0.9,1),1)</f>
        <v>50</v>
      </c>
      <c r="E21" s="335"/>
      <c r="F21" s="336" t="str">
        <f>IF(D21&gt;=80,"🟢 LEADER",IF(D21&gt;=65,"🟢 ADVANCED",IF(D21&gt;=50,"🟡 INTERMEDIATE",IF(D21&gt;=35,"⚠ BASIC","🔴 LAGGARD"))))</f>
        <v>🟡 INTERMEDIATE</v>
      </c>
      <c r="G21" s="336"/>
      <c r="H21" s="293" t="s">
        <v>1372</v>
      </c>
      <c r="I21" s="293"/>
    </row>
    <row r="23" spans="1:9" ht="60" customHeight="1" x14ac:dyDescent="0.55000000000000004">
      <c r="B23" s="337" t="s">
        <v>1373</v>
      </c>
      <c r="C23" s="337"/>
      <c r="D23" s="337"/>
      <c r="E23" s="337"/>
      <c r="F23" s="337"/>
      <c r="G23" s="337"/>
      <c r="H23" s="337"/>
      <c r="I23" s="337"/>
    </row>
  </sheetData>
  <mergeCells count="17">
    <mergeCell ref="B21:C21"/>
    <mergeCell ref="D21:E21"/>
    <mergeCell ref="F21:G21"/>
    <mergeCell ref="H21:I21"/>
    <mergeCell ref="B23:I23"/>
    <mergeCell ref="B15:C15"/>
    <mergeCell ref="B16:C16"/>
    <mergeCell ref="B17:C17"/>
    <mergeCell ref="A18:I18"/>
    <mergeCell ref="B19:C19"/>
    <mergeCell ref="E19:F19"/>
    <mergeCell ref="G19:I19"/>
    <mergeCell ref="A1:I1"/>
    <mergeCell ref="A2:I2"/>
    <mergeCell ref="A3:I3"/>
    <mergeCell ref="A13:I13"/>
    <mergeCell ref="B14:C14"/>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58"/>
  <sheetViews>
    <sheetView zoomScaleNormal="100" workbookViewId="0">
      <selection sqref="A1:H1"/>
    </sheetView>
  </sheetViews>
  <sheetFormatPr defaultColWidth="8.68359375" defaultRowHeight="14.4" x14ac:dyDescent="0.55000000000000004"/>
  <cols>
    <col min="1" max="2" width="4" customWidth="1"/>
    <col min="3" max="3" width="55" customWidth="1"/>
    <col min="4" max="4" width="18" customWidth="1"/>
    <col min="5" max="5" width="10" customWidth="1"/>
    <col min="6" max="6" width="12" customWidth="1"/>
    <col min="7" max="7" width="30" customWidth="1"/>
    <col min="8" max="8" width="4" customWidth="1"/>
  </cols>
  <sheetData>
    <row r="1" spans="1:8" ht="31.5" customHeight="1" x14ac:dyDescent="0.55000000000000004">
      <c r="A1" s="313" t="s">
        <v>1374</v>
      </c>
      <c r="B1" s="313"/>
      <c r="C1" s="313"/>
      <c r="D1" s="313"/>
      <c r="E1" s="313"/>
      <c r="F1" s="313"/>
      <c r="G1" s="313"/>
      <c r="H1" s="313"/>
    </row>
    <row r="2" spans="1:8" ht="27.75" customHeight="1" x14ac:dyDescent="0.55000000000000004">
      <c r="A2" s="338" t="str">
        <f>IF(BorrowerName="","Borrower: [Not Set]","Borrower: "&amp;BorrowerName)&amp;"  |  42 qualitative indicators across 4 categories. Mark Yes/No in Column D. Severity points auto-aggregate. RFA threshold: &gt;15 points OR ≥1 Critical OR ≥2 High."</f>
        <v>Borrower: [Not Set]  |  42 qualitative indicators across 4 categories. Mark Yes/No in Column D. Severity points auto-aggregate. RFA threshold: &gt;15 points OR ≥1 Critical OR ≥2 High.</v>
      </c>
      <c r="B2" s="338"/>
      <c r="C2" s="338"/>
      <c r="D2" s="338"/>
      <c r="E2" s="338"/>
      <c r="F2" s="338"/>
      <c r="G2" s="338"/>
      <c r="H2" s="338"/>
    </row>
    <row r="3" spans="1:8" ht="6" customHeight="1" x14ac:dyDescent="0.55000000000000004">
      <c r="A3" s="10"/>
      <c r="B3" s="10"/>
      <c r="C3" s="10"/>
      <c r="D3" s="10"/>
      <c r="E3" s="10"/>
      <c r="F3" s="10"/>
      <c r="G3" s="10"/>
      <c r="H3" s="10"/>
    </row>
    <row r="4" spans="1:8" ht="24" customHeight="1" x14ac:dyDescent="0.55000000000000004">
      <c r="B4" s="17" t="s">
        <v>644</v>
      </c>
      <c r="C4" s="206" t="s">
        <v>1375</v>
      </c>
      <c r="D4" s="166" t="s">
        <v>1376</v>
      </c>
      <c r="E4" s="17" t="s">
        <v>1377</v>
      </c>
      <c r="F4" s="17" t="s">
        <v>1378</v>
      </c>
      <c r="G4" s="206" t="s">
        <v>1379</v>
      </c>
    </row>
    <row r="5" spans="1:8" ht="19.5" customHeight="1" x14ac:dyDescent="0.55000000000000004">
      <c r="B5" s="9" t="s">
        <v>1380</v>
      </c>
      <c r="C5" s="9"/>
      <c r="D5" s="9"/>
      <c r="E5" s="9"/>
      <c r="F5" s="9"/>
      <c r="G5" s="9"/>
    </row>
    <row r="6" spans="1:8" ht="24" customHeight="1" x14ac:dyDescent="0.55000000000000004">
      <c r="B6" s="134">
        <v>1</v>
      </c>
      <c r="C6" s="32" t="s">
        <v>1381</v>
      </c>
      <c r="D6" s="72" t="s">
        <v>192</v>
      </c>
      <c r="E6" s="207" t="s">
        <v>1382</v>
      </c>
      <c r="F6" s="208">
        <f>IF(D6="Yes",10,0)</f>
        <v>0</v>
      </c>
      <c r="G6" s="48" t="s">
        <v>1383</v>
      </c>
    </row>
    <row r="7" spans="1:8" ht="24" customHeight="1" x14ac:dyDescent="0.55000000000000004">
      <c r="B7" s="134">
        <v>2</v>
      </c>
      <c r="C7" s="32" t="s">
        <v>1384</v>
      </c>
      <c r="D7" s="72" t="s">
        <v>192</v>
      </c>
      <c r="E7" s="209" t="s">
        <v>1385</v>
      </c>
      <c r="F7" s="208">
        <f>IF(D7="Yes",5,0)</f>
        <v>0</v>
      </c>
      <c r="G7" s="48" t="s">
        <v>1386</v>
      </c>
    </row>
    <row r="8" spans="1:8" ht="24" customHeight="1" x14ac:dyDescent="0.55000000000000004">
      <c r="B8" s="134">
        <v>3</v>
      </c>
      <c r="C8" s="32" t="s">
        <v>1387</v>
      </c>
      <c r="D8" s="72" t="s">
        <v>192</v>
      </c>
      <c r="E8" s="209" t="s">
        <v>1385</v>
      </c>
      <c r="F8" s="208">
        <f>IF(D8="Yes",5,0)</f>
        <v>0</v>
      </c>
      <c r="G8" s="48" t="s">
        <v>1388</v>
      </c>
    </row>
    <row r="9" spans="1:8" ht="24" customHeight="1" x14ac:dyDescent="0.55000000000000004">
      <c r="B9" s="134">
        <v>4</v>
      </c>
      <c r="C9" s="32" t="s">
        <v>1389</v>
      </c>
      <c r="D9" s="72" t="s">
        <v>192</v>
      </c>
      <c r="E9" s="209" t="s">
        <v>1385</v>
      </c>
      <c r="F9" s="208">
        <f>IF(D9="Yes",5,0)</f>
        <v>0</v>
      </c>
      <c r="G9" s="48" t="s">
        <v>1390</v>
      </c>
    </row>
    <row r="10" spans="1:8" ht="24" customHeight="1" x14ac:dyDescent="0.55000000000000004">
      <c r="B10" s="134">
        <v>5</v>
      </c>
      <c r="C10" s="32" t="s">
        <v>1391</v>
      </c>
      <c r="D10" s="72" t="s">
        <v>192</v>
      </c>
      <c r="E10" s="198" t="s">
        <v>1392</v>
      </c>
      <c r="F10" s="208">
        <f>IF(D10="Yes",3,0)</f>
        <v>0</v>
      </c>
      <c r="G10" s="48" t="s">
        <v>1393</v>
      </c>
    </row>
    <row r="11" spans="1:8" ht="24" customHeight="1" x14ac:dyDescent="0.55000000000000004">
      <c r="B11" s="134">
        <v>6</v>
      </c>
      <c r="C11" s="32" t="s">
        <v>1394</v>
      </c>
      <c r="D11" s="72" t="s">
        <v>192</v>
      </c>
      <c r="E11" s="209" t="s">
        <v>1385</v>
      </c>
      <c r="F11" s="208">
        <f>IF(D11="Yes",5,0)</f>
        <v>0</v>
      </c>
      <c r="G11" s="48" t="s">
        <v>1395</v>
      </c>
    </row>
    <row r="12" spans="1:8" ht="24" customHeight="1" x14ac:dyDescent="0.55000000000000004">
      <c r="B12" s="134">
        <v>7</v>
      </c>
      <c r="C12" s="32" t="s">
        <v>1396</v>
      </c>
      <c r="D12" s="72" t="s">
        <v>192</v>
      </c>
      <c r="E12" s="209" t="s">
        <v>1385</v>
      </c>
      <c r="F12" s="208">
        <f>IF(D12="Yes",5,0)</f>
        <v>0</v>
      </c>
      <c r="G12" s="48" t="s">
        <v>1397</v>
      </c>
    </row>
    <row r="13" spans="1:8" ht="24" customHeight="1" x14ac:dyDescent="0.55000000000000004">
      <c r="B13" s="134">
        <v>8</v>
      </c>
      <c r="C13" s="32" t="s">
        <v>1398</v>
      </c>
      <c r="D13" s="72" t="s">
        <v>192</v>
      </c>
      <c r="E13" s="198" t="s">
        <v>1392</v>
      </c>
      <c r="F13" s="208">
        <f>IF(D13="Yes",3,0)</f>
        <v>0</v>
      </c>
      <c r="G13" s="48" t="s">
        <v>1399</v>
      </c>
    </row>
    <row r="14" spans="1:8" ht="24" customHeight="1" x14ac:dyDescent="0.55000000000000004">
      <c r="B14" s="134">
        <v>9</v>
      </c>
      <c r="C14" s="32" t="s">
        <v>1400</v>
      </c>
      <c r="D14" s="72" t="s">
        <v>192</v>
      </c>
      <c r="E14" s="198" t="s">
        <v>1392</v>
      </c>
      <c r="F14" s="208">
        <f>IF(D14="Yes",3,0)</f>
        <v>0</v>
      </c>
      <c r="G14" s="48" t="s">
        <v>1401</v>
      </c>
    </row>
    <row r="15" spans="1:8" ht="24" customHeight="1" x14ac:dyDescent="0.55000000000000004">
      <c r="B15" s="134">
        <v>10</v>
      </c>
      <c r="C15" s="32" t="s">
        <v>1402</v>
      </c>
      <c r="D15" s="72" t="s">
        <v>192</v>
      </c>
      <c r="E15" s="198" t="s">
        <v>1392</v>
      </c>
      <c r="F15" s="208">
        <f>IF(D15="Yes",3,0)</f>
        <v>0</v>
      </c>
      <c r="G15" s="48" t="s">
        <v>1403</v>
      </c>
    </row>
    <row r="16" spans="1:8" ht="19.5" customHeight="1" x14ac:dyDescent="0.55000000000000004">
      <c r="B16" s="9" t="s">
        <v>1404</v>
      </c>
      <c r="C16" s="9"/>
      <c r="D16" s="9"/>
      <c r="E16" s="9"/>
      <c r="F16" s="9"/>
      <c r="G16" s="9"/>
    </row>
    <row r="17" spans="2:7" ht="24" customHeight="1" x14ac:dyDescent="0.55000000000000004">
      <c r="B17" s="134">
        <v>11</v>
      </c>
      <c r="C17" s="32" t="s">
        <v>1405</v>
      </c>
      <c r="D17" s="72" t="s">
        <v>192</v>
      </c>
      <c r="E17" s="198" t="s">
        <v>1392</v>
      </c>
      <c r="F17" s="208">
        <f>IF(D17="Yes",3,0)</f>
        <v>0</v>
      </c>
      <c r="G17" s="48" t="s">
        <v>1406</v>
      </c>
    </row>
    <row r="18" spans="2:7" ht="24" customHeight="1" x14ac:dyDescent="0.55000000000000004">
      <c r="B18" s="134">
        <v>12</v>
      </c>
      <c r="C18" s="32" t="s">
        <v>1407</v>
      </c>
      <c r="D18" s="72" t="s">
        <v>192</v>
      </c>
      <c r="E18" s="209" t="s">
        <v>1385</v>
      </c>
      <c r="F18" s="208">
        <f>IF(D18="Yes",5,0)</f>
        <v>0</v>
      </c>
      <c r="G18" s="48" t="s">
        <v>1408</v>
      </c>
    </row>
    <row r="19" spans="2:7" ht="24" customHeight="1" x14ac:dyDescent="0.55000000000000004">
      <c r="B19" s="134">
        <v>13</v>
      </c>
      <c r="C19" s="32" t="s">
        <v>1409</v>
      </c>
      <c r="D19" s="72" t="s">
        <v>192</v>
      </c>
      <c r="E19" s="209" t="s">
        <v>1385</v>
      </c>
      <c r="F19" s="208">
        <f>IF(D19="Yes",5,0)</f>
        <v>0</v>
      </c>
      <c r="G19" s="48" t="s">
        <v>1410</v>
      </c>
    </row>
    <row r="20" spans="2:7" ht="24" customHeight="1" x14ac:dyDescent="0.55000000000000004">
      <c r="B20" s="134">
        <v>14</v>
      </c>
      <c r="C20" s="32" t="s">
        <v>1411</v>
      </c>
      <c r="D20" s="72" t="s">
        <v>192</v>
      </c>
      <c r="E20" s="198" t="s">
        <v>1392</v>
      </c>
      <c r="F20" s="208">
        <f>IF(D20="Yes",3,0)</f>
        <v>0</v>
      </c>
      <c r="G20" s="48" t="s">
        <v>1412</v>
      </c>
    </row>
    <row r="21" spans="2:7" ht="24" customHeight="1" x14ac:dyDescent="0.55000000000000004">
      <c r="B21" s="134">
        <v>15</v>
      </c>
      <c r="C21" s="32" t="s">
        <v>1413</v>
      </c>
      <c r="D21" s="72" t="s">
        <v>192</v>
      </c>
      <c r="E21" s="198" t="s">
        <v>1392</v>
      </c>
      <c r="F21" s="208">
        <f>IF(D21="Yes",3,0)</f>
        <v>0</v>
      </c>
      <c r="G21" s="48" t="s">
        <v>1414</v>
      </c>
    </row>
    <row r="22" spans="2:7" ht="24" customHeight="1" x14ac:dyDescent="0.55000000000000004">
      <c r="B22" s="134">
        <v>16</v>
      </c>
      <c r="C22" s="32" t="s">
        <v>1415</v>
      </c>
      <c r="D22" s="72" t="s">
        <v>192</v>
      </c>
      <c r="E22" s="209" t="s">
        <v>1385</v>
      </c>
      <c r="F22" s="208">
        <f>IF(D22="Yes",5,0)</f>
        <v>0</v>
      </c>
      <c r="G22" s="48" t="s">
        <v>1416</v>
      </c>
    </row>
    <row r="23" spans="2:7" ht="24" customHeight="1" x14ac:dyDescent="0.55000000000000004">
      <c r="B23" s="134">
        <v>17</v>
      </c>
      <c r="C23" s="32" t="s">
        <v>1417</v>
      </c>
      <c r="D23" s="72" t="s">
        <v>192</v>
      </c>
      <c r="E23" s="198" t="s">
        <v>1392</v>
      </c>
      <c r="F23" s="208">
        <f>IF(D23="Yes",3,0)</f>
        <v>0</v>
      </c>
      <c r="G23" s="48" t="s">
        <v>1418</v>
      </c>
    </row>
    <row r="24" spans="2:7" ht="24" customHeight="1" x14ac:dyDescent="0.55000000000000004">
      <c r="B24" s="134">
        <v>18</v>
      </c>
      <c r="C24" s="32" t="s">
        <v>1419</v>
      </c>
      <c r="D24" s="72" t="s">
        <v>192</v>
      </c>
      <c r="E24" s="207" t="s">
        <v>1382</v>
      </c>
      <c r="F24" s="208">
        <f>IF(D24="Yes",10,0)</f>
        <v>0</v>
      </c>
      <c r="G24" s="48" t="s">
        <v>1420</v>
      </c>
    </row>
    <row r="25" spans="2:7" ht="24" customHeight="1" x14ac:dyDescent="0.55000000000000004">
      <c r="B25" s="134">
        <v>19</v>
      </c>
      <c r="C25" s="32" t="s">
        <v>1421</v>
      </c>
      <c r="D25" s="72" t="s">
        <v>192</v>
      </c>
      <c r="E25" s="207" t="s">
        <v>1382</v>
      </c>
      <c r="F25" s="208">
        <f>IF(D25="Yes",10,0)</f>
        <v>0</v>
      </c>
      <c r="G25" s="48" t="s">
        <v>1422</v>
      </c>
    </row>
    <row r="26" spans="2:7" ht="24" customHeight="1" x14ac:dyDescent="0.55000000000000004">
      <c r="B26" s="134">
        <v>20</v>
      </c>
      <c r="C26" s="32" t="s">
        <v>1423</v>
      </c>
      <c r="D26" s="72" t="s">
        <v>192</v>
      </c>
      <c r="E26" s="209" t="s">
        <v>1385</v>
      </c>
      <c r="F26" s="208">
        <f>IF(D26="Yes",5,0)</f>
        <v>0</v>
      </c>
      <c r="G26" s="48" t="s">
        <v>1424</v>
      </c>
    </row>
    <row r="27" spans="2:7" ht="24" customHeight="1" x14ac:dyDescent="0.55000000000000004">
      <c r="B27" s="134">
        <v>21</v>
      </c>
      <c r="C27" s="32" t="s">
        <v>1425</v>
      </c>
      <c r="D27" s="72" t="s">
        <v>192</v>
      </c>
      <c r="E27" s="209" t="s">
        <v>1385</v>
      </c>
      <c r="F27" s="208">
        <f>IF(D27="Yes",5,0)</f>
        <v>0</v>
      </c>
      <c r="G27" s="48" t="s">
        <v>1426</v>
      </c>
    </row>
    <row r="28" spans="2:7" ht="19.5" customHeight="1" x14ac:dyDescent="0.55000000000000004">
      <c r="B28" s="9" t="s">
        <v>1427</v>
      </c>
      <c r="C28" s="9"/>
      <c r="D28" s="9"/>
      <c r="E28" s="9"/>
      <c r="F28" s="9"/>
      <c r="G28" s="9"/>
    </row>
    <row r="29" spans="2:7" ht="24" customHeight="1" x14ac:dyDescent="0.55000000000000004">
      <c r="B29" s="134">
        <v>22</v>
      </c>
      <c r="C29" s="32" t="s">
        <v>1428</v>
      </c>
      <c r="D29" s="72" t="s">
        <v>192</v>
      </c>
      <c r="E29" s="207" t="s">
        <v>1382</v>
      </c>
      <c r="F29" s="208">
        <f>IF(D29="Yes",10,0)</f>
        <v>0</v>
      </c>
      <c r="G29" s="48" t="s">
        <v>1429</v>
      </c>
    </row>
    <row r="30" spans="2:7" ht="24" customHeight="1" x14ac:dyDescent="0.55000000000000004">
      <c r="B30" s="134">
        <v>23</v>
      </c>
      <c r="C30" s="32" t="s">
        <v>1430</v>
      </c>
      <c r="D30" s="72" t="s">
        <v>192</v>
      </c>
      <c r="E30" s="209" t="s">
        <v>1385</v>
      </c>
      <c r="F30" s="208">
        <f>IF(D30="Yes",5,0)</f>
        <v>0</v>
      </c>
      <c r="G30" s="48" t="s">
        <v>1431</v>
      </c>
    </row>
    <row r="31" spans="2:7" ht="24" customHeight="1" x14ac:dyDescent="0.55000000000000004">
      <c r="B31" s="134">
        <v>24</v>
      </c>
      <c r="C31" s="32" t="s">
        <v>1432</v>
      </c>
      <c r="D31" s="72" t="s">
        <v>192</v>
      </c>
      <c r="E31" s="198" t="s">
        <v>1392</v>
      </c>
      <c r="F31" s="208">
        <f>IF(D31="Yes",3,0)</f>
        <v>0</v>
      </c>
      <c r="G31" s="48" t="s">
        <v>1433</v>
      </c>
    </row>
    <row r="32" spans="2:7" ht="24" customHeight="1" x14ac:dyDescent="0.55000000000000004">
      <c r="B32" s="134">
        <v>25</v>
      </c>
      <c r="C32" s="32" t="s">
        <v>1434</v>
      </c>
      <c r="D32" s="72" t="s">
        <v>192</v>
      </c>
      <c r="E32" s="198" t="s">
        <v>1392</v>
      </c>
      <c r="F32" s="208">
        <f>IF(D32="Yes",3,0)</f>
        <v>0</v>
      </c>
      <c r="G32" s="48" t="s">
        <v>1435</v>
      </c>
    </row>
    <row r="33" spans="2:7" ht="24" customHeight="1" x14ac:dyDescent="0.55000000000000004">
      <c r="B33" s="134">
        <v>26</v>
      </c>
      <c r="C33" s="32" t="s">
        <v>1436</v>
      </c>
      <c r="D33" s="72" t="s">
        <v>192</v>
      </c>
      <c r="E33" s="210" t="s">
        <v>1437</v>
      </c>
      <c r="F33" s="208">
        <f>IF(D33="Yes",1,0)</f>
        <v>0</v>
      </c>
      <c r="G33" s="48" t="s">
        <v>1438</v>
      </c>
    </row>
    <row r="34" spans="2:7" ht="24" customHeight="1" x14ac:dyDescent="0.55000000000000004">
      <c r="B34" s="134">
        <v>27</v>
      </c>
      <c r="C34" s="32" t="s">
        <v>1439</v>
      </c>
      <c r="D34" s="72" t="s">
        <v>192</v>
      </c>
      <c r="E34" s="209" t="s">
        <v>1385</v>
      </c>
      <c r="F34" s="208">
        <f>IF(D34="Yes",5,0)</f>
        <v>0</v>
      </c>
      <c r="G34" s="48" t="s">
        <v>1440</v>
      </c>
    </row>
    <row r="35" spans="2:7" ht="24" customHeight="1" x14ac:dyDescent="0.55000000000000004">
      <c r="B35" s="134">
        <v>28</v>
      </c>
      <c r="C35" s="32" t="s">
        <v>1441</v>
      </c>
      <c r="D35" s="72" t="s">
        <v>192</v>
      </c>
      <c r="E35" s="198" t="s">
        <v>1392</v>
      </c>
      <c r="F35" s="208">
        <f>IF(D35="Yes",3,0)</f>
        <v>0</v>
      </c>
      <c r="G35" s="48" t="s">
        <v>1442</v>
      </c>
    </row>
    <row r="36" spans="2:7" ht="24" customHeight="1" x14ac:dyDescent="0.55000000000000004">
      <c r="B36" s="134">
        <v>29</v>
      </c>
      <c r="C36" s="32" t="s">
        <v>1443</v>
      </c>
      <c r="D36" s="72" t="s">
        <v>192</v>
      </c>
      <c r="E36" s="209" t="s">
        <v>1385</v>
      </c>
      <c r="F36" s="208">
        <f>IF(D36="Yes",5,0)</f>
        <v>0</v>
      </c>
      <c r="G36" s="48" t="s">
        <v>1444</v>
      </c>
    </row>
    <row r="37" spans="2:7" ht="24" customHeight="1" x14ac:dyDescent="0.55000000000000004">
      <c r="B37" s="134">
        <v>30</v>
      </c>
      <c r="C37" s="32" t="s">
        <v>1445</v>
      </c>
      <c r="D37" s="72" t="s">
        <v>192</v>
      </c>
      <c r="E37" s="198" t="s">
        <v>1392</v>
      </c>
      <c r="F37" s="208">
        <f>IF(D37="Yes",3,0)</f>
        <v>0</v>
      </c>
      <c r="G37" s="48" t="s">
        <v>1446</v>
      </c>
    </row>
    <row r="38" spans="2:7" ht="24" customHeight="1" x14ac:dyDescent="0.55000000000000004">
      <c r="B38" s="134">
        <v>31</v>
      </c>
      <c r="C38" s="32" t="s">
        <v>1447</v>
      </c>
      <c r="D38" s="72" t="s">
        <v>192</v>
      </c>
      <c r="E38" s="198" t="s">
        <v>1392</v>
      </c>
      <c r="F38" s="208">
        <f>IF(D38="Yes",3,0)</f>
        <v>0</v>
      </c>
      <c r="G38" s="48" t="s">
        <v>1448</v>
      </c>
    </row>
    <row r="39" spans="2:7" ht="19.5" customHeight="1" x14ac:dyDescent="0.55000000000000004">
      <c r="B39" s="9" t="s">
        <v>1449</v>
      </c>
      <c r="C39" s="9"/>
      <c r="D39" s="9"/>
      <c r="E39" s="9"/>
      <c r="F39" s="9"/>
      <c r="G39" s="9"/>
    </row>
    <row r="40" spans="2:7" ht="24" customHeight="1" x14ac:dyDescent="0.55000000000000004">
      <c r="B40" s="134">
        <v>32</v>
      </c>
      <c r="C40" s="32" t="s">
        <v>1450</v>
      </c>
      <c r="D40" s="72" t="s">
        <v>192</v>
      </c>
      <c r="E40" s="198" t="s">
        <v>1392</v>
      </c>
      <c r="F40" s="208">
        <f>IF(D40="Yes",3,0)</f>
        <v>0</v>
      </c>
      <c r="G40" s="48" t="s">
        <v>1451</v>
      </c>
    </row>
    <row r="41" spans="2:7" ht="24" customHeight="1" x14ac:dyDescent="0.55000000000000004">
      <c r="B41" s="134">
        <v>33</v>
      </c>
      <c r="C41" s="32" t="s">
        <v>1452</v>
      </c>
      <c r="D41" s="72" t="s">
        <v>192</v>
      </c>
      <c r="E41" s="198" t="s">
        <v>1392</v>
      </c>
      <c r="F41" s="208">
        <f>IF(D41="Yes",3,0)</f>
        <v>0</v>
      </c>
      <c r="G41" s="48" t="s">
        <v>1453</v>
      </c>
    </row>
    <row r="42" spans="2:7" ht="24" customHeight="1" x14ac:dyDescent="0.55000000000000004">
      <c r="B42" s="134">
        <v>34</v>
      </c>
      <c r="C42" s="32" t="s">
        <v>1454</v>
      </c>
      <c r="D42" s="72" t="s">
        <v>192</v>
      </c>
      <c r="E42" s="198" t="s">
        <v>1392</v>
      </c>
      <c r="F42" s="208">
        <f>IF(D42="Yes",3,0)</f>
        <v>0</v>
      </c>
      <c r="G42" s="48" t="s">
        <v>1455</v>
      </c>
    </row>
    <row r="43" spans="2:7" ht="24" customHeight="1" x14ac:dyDescent="0.55000000000000004">
      <c r="B43" s="134">
        <v>35</v>
      </c>
      <c r="C43" s="32" t="s">
        <v>1456</v>
      </c>
      <c r="D43" s="72" t="s">
        <v>192</v>
      </c>
      <c r="E43" s="198" t="s">
        <v>1392</v>
      </c>
      <c r="F43" s="208">
        <f>IF(D43="Yes",3,0)</f>
        <v>0</v>
      </c>
      <c r="G43" s="48" t="s">
        <v>1457</v>
      </c>
    </row>
    <row r="44" spans="2:7" ht="24" customHeight="1" x14ac:dyDescent="0.55000000000000004">
      <c r="B44" s="134">
        <v>36</v>
      </c>
      <c r="C44" s="32" t="s">
        <v>1458</v>
      </c>
      <c r="D44" s="72" t="s">
        <v>192</v>
      </c>
      <c r="E44" s="198" t="s">
        <v>1392</v>
      </c>
      <c r="F44" s="208">
        <f>IF(D44="Yes",3,0)</f>
        <v>0</v>
      </c>
      <c r="G44" s="48" t="s">
        <v>1459</v>
      </c>
    </row>
    <row r="45" spans="2:7" ht="24" customHeight="1" x14ac:dyDescent="0.55000000000000004">
      <c r="B45" s="134">
        <v>37</v>
      </c>
      <c r="C45" s="32" t="s">
        <v>1460</v>
      </c>
      <c r="D45" s="72" t="s">
        <v>192</v>
      </c>
      <c r="E45" s="209" t="s">
        <v>1385</v>
      </c>
      <c r="F45" s="208">
        <f>IF(D45="Yes",5,0)</f>
        <v>0</v>
      </c>
      <c r="G45" s="48" t="s">
        <v>1461</v>
      </c>
    </row>
    <row r="46" spans="2:7" ht="24" customHeight="1" x14ac:dyDescent="0.55000000000000004">
      <c r="B46" s="134">
        <v>38</v>
      </c>
      <c r="C46" s="32" t="s">
        <v>1462</v>
      </c>
      <c r="D46" s="72" t="s">
        <v>192</v>
      </c>
      <c r="E46" s="209" t="s">
        <v>1385</v>
      </c>
      <c r="F46" s="208">
        <f>IF(D46="Yes",5,0)</f>
        <v>0</v>
      </c>
      <c r="G46" s="48" t="s">
        <v>1463</v>
      </c>
    </row>
    <row r="47" spans="2:7" ht="24" customHeight="1" x14ac:dyDescent="0.55000000000000004">
      <c r="B47" s="134">
        <v>39</v>
      </c>
      <c r="C47" s="32" t="s">
        <v>1464</v>
      </c>
      <c r="D47" s="72" t="s">
        <v>192</v>
      </c>
      <c r="E47" s="198" t="s">
        <v>1392</v>
      </c>
      <c r="F47" s="208">
        <f>IF(D47="Yes",3,0)</f>
        <v>0</v>
      </c>
      <c r="G47" s="48" t="s">
        <v>1465</v>
      </c>
    </row>
    <row r="48" spans="2:7" ht="24" customHeight="1" x14ac:dyDescent="0.55000000000000004">
      <c r="B48" s="134">
        <v>40</v>
      </c>
      <c r="C48" s="32" t="s">
        <v>1466</v>
      </c>
      <c r="D48" s="72" t="s">
        <v>192</v>
      </c>
      <c r="E48" s="198" t="s">
        <v>1392</v>
      </c>
      <c r="F48" s="208">
        <f>IF(D48="Yes",3,0)</f>
        <v>0</v>
      </c>
      <c r="G48" s="48" t="s">
        <v>1467</v>
      </c>
    </row>
    <row r="49" spans="1:7" ht="24" customHeight="1" x14ac:dyDescent="0.55000000000000004">
      <c r="B49" s="134">
        <v>41</v>
      </c>
      <c r="C49" s="32" t="s">
        <v>1468</v>
      </c>
      <c r="D49" s="72" t="s">
        <v>192</v>
      </c>
      <c r="E49" s="198" t="s">
        <v>1392</v>
      </c>
      <c r="F49" s="208">
        <f>IF(D49="Yes",3,0)</f>
        <v>0</v>
      </c>
      <c r="G49" s="48" t="s">
        <v>1469</v>
      </c>
    </row>
    <row r="50" spans="1:7" ht="24" customHeight="1" x14ac:dyDescent="0.55000000000000004">
      <c r="B50" s="134">
        <v>42</v>
      </c>
      <c r="C50" s="32" t="s">
        <v>1470</v>
      </c>
      <c r="D50" s="72" t="s">
        <v>192</v>
      </c>
      <c r="E50" s="209" t="s">
        <v>1385</v>
      </c>
      <c r="F50" s="208">
        <f>IF(D50="Yes",5,0)</f>
        <v>0</v>
      </c>
      <c r="G50" s="48" t="s">
        <v>1471</v>
      </c>
    </row>
    <row r="51" spans="1:7" ht="19.5" customHeight="1" x14ac:dyDescent="0.55000000000000004">
      <c r="B51" s="9" t="s">
        <v>1472</v>
      </c>
      <c r="C51" s="9"/>
      <c r="D51" s="9"/>
      <c r="E51" s="9"/>
      <c r="F51" s="9"/>
      <c r="G51" s="9"/>
    </row>
    <row r="52" spans="1:7" ht="24" customHeight="1" x14ac:dyDescent="0.55000000000000004">
      <c r="B52" s="134">
        <v>43</v>
      </c>
      <c r="C52" s="32" t="s">
        <v>1473</v>
      </c>
      <c r="D52" s="75" t="str">
        <f>IF(APIGrossIncome&lt;=0,"No",IF(ABS((INDEX('2_Operating_Statement'!C13:N13,1,LatestAudCol)-APIGrossIncome)/APIGrossIncome)&gt;0.1,"Yes","No"))</f>
        <v>No</v>
      </c>
      <c r="E52" s="209" t="s">
        <v>1385</v>
      </c>
      <c r="F52" s="208">
        <f>IF(D52="Yes",5,0)</f>
        <v>0</v>
      </c>
      <c r="G52" s="48" t="s">
        <v>1474</v>
      </c>
    </row>
    <row r="53" spans="1:7" ht="30" customHeight="1" x14ac:dyDescent="0.55000000000000004">
      <c r="A53" s="16"/>
      <c r="B53" s="50" t="s">
        <v>1475</v>
      </c>
      <c r="C53" s="33" t="s">
        <v>1476</v>
      </c>
      <c r="D53" s="34" t="str">
        <f>IF(OR(LEFT(Anomaly_Benford_Verdict,1)="🔴",LEFT(Anomaly_Benford_Verdict,1)="🟠",LEFT(Anomaly_RollingZ_Verdict,1)="🔴",LEFT(Anomaly_RollingZ_Verdict,1)="🟠",LEFT(Anomaly_Earnings_Verdict,1)="🔴",LEFT(Anomaly_Earnings_Verdict,1)="🟠"),"Yes","No")</f>
        <v>No</v>
      </c>
      <c r="E53" s="211" t="s">
        <v>1385</v>
      </c>
      <c r="F53" s="34">
        <f>IF(D53="Yes",5,0)</f>
        <v>0</v>
      </c>
      <c r="G53" s="179" t="s">
        <v>1477</v>
      </c>
    </row>
    <row r="54" spans="1:7" ht="21.75" customHeight="1" x14ac:dyDescent="0.55000000000000004">
      <c r="B54" s="308" t="s">
        <v>1478</v>
      </c>
      <c r="C54" s="308"/>
      <c r="D54" s="308"/>
      <c r="E54" s="308"/>
      <c r="F54" s="308"/>
      <c r="G54" s="308"/>
    </row>
    <row r="55" spans="1:7" ht="18" customHeight="1" x14ac:dyDescent="0.55000000000000004">
      <c r="B55" s="17"/>
      <c r="C55" s="17" t="s">
        <v>1479</v>
      </c>
      <c r="D55" s="17" t="s">
        <v>1480</v>
      </c>
      <c r="E55" s="17" t="s">
        <v>1481</v>
      </c>
      <c r="F55" s="17" t="s">
        <v>1482</v>
      </c>
      <c r="G55" s="17" t="s">
        <v>1483</v>
      </c>
    </row>
    <row r="56" spans="1:7" ht="27.75" customHeight="1" x14ac:dyDescent="0.55000000000000004">
      <c r="B56" s="212" t="s">
        <v>1484</v>
      </c>
      <c r="C56" s="213">
        <f>COUNTIF(D5:D53,"Yes")</f>
        <v>0</v>
      </c>
      <c r="D56" s="145">
        <f>IF(D6="Yes",1,0)+IF(D24="Yes",1,0)+IF(D25="Yes",1,0)+IF(D29="Yes",1,0)</f>
        <v>0</v>
      </c>
      <c r="E56" s="214">
        <f>IF(D7="Yes",1,0)+IF(D8="Yes",1,0)+IF(D9="Yes",1,0)+IF(D11="Yes",1,0)+IF(D12="Yes",1,0)+IF(D18="Yes",1,0)+IF(D19="Yes",1,0)+IF(D22="Yes",1,0)+IF(D26="Yes",1,0)+IF(D27="Yes",1,0)+IF(D30="Yes",1,0)+IF(D34="Yes",1,0)+IF(D36="Yes",1,0)+IF(D45="Yes",1,0)+IF(D46="Yes",1,0)+IF(D50="Yes",1,0)+IF(D53="Yes",1,0)</f>
        <v>0</v>
      </c>
      <c r="F56" s="215">
        <f>SUM(F5:F53)</f>
        <v>0</v>
      </c>
      <c r="G56" s="216" t="str">
        <f>IF(OR(D56&gt;=1,E56&gt;=2,F56&gt;15),"🔴 CRITICAL RISK — RFA PROBABLE — DEEP INVESTIGATION REQUIRED",IF(OR(F56&gt;=8,E56&gt;=1),"⚠ ELEVATED RISK — ENHANCED MONITORING",IF(F56&gt;=3,"🟡 MODERATE — ROUTINE WATCH","🟢 NORMAL — STANDARD MONITORING")))</f>
        <v>🟢 NORMAL — STANDARD MONITORING</v>
      </c>
    </row>
    <row r="57" spans="1:7" ht="6" customHeight="1" x14ac:dyDescent="0.55000000000000004"/>
    <row r="58" spans="1:7" ht="60" customHeight="1" x14ac:dyDescent="0.55000000000000004">
      <c r="B58" s="337" t="s">
        <v>1485</v>
      </c>
      <c r="C58" s="337"/>
      <c r="D58" s="337"/>
      <c r="E58" s="337"/>
      <c r="F58" s="337"/>
      <c r="G58" s="337"/>
    </row>
  </sheetData>
  <mergeCells count="10">
    <mergeCell ref="B28:G28"/>
    <mergeCell ref="B39:G39"/>
    <mergeCell ref="B51:G51"/>
    <mergeCell ref="B54:G54"/>
    <mergeCell ref="B58:G58"/>
    <mergeCell ref="A1:H1"/>
    <mergeCell ref="A2:H2"/>
    <mergeCell ref="A3:H3"/>
    <mergeCell ref="B5:G5"/>
    <mergeCell ref="B16:G16"/>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3"/>
  <sheetViews>
    <sheetView zoomScaleNormal="100" workbookViewId="0">
      <selection sqref="A1:P1"/>
    </sheetView>
  </sheetViews>
  <sheetFormatPr defaultColWidth="8.68359375" defaultRowHeight="14.4" x14ac:dyDescent="0.55000000000000004"/>
  <cols>
    <col min="1" max="1" width="36" customWidth="1"/>
    <col min="2" max="15" width="11" customWidth="1"/>
    <col min="16" max="16" width="13" customWidth="1"/>
  </cols>
  <sheetData>
    <row r="1" spans="1:16" ht="31.5" customHeight="1" x14ac:dyDescent="0.55000000000000004">
      <c r="A1" s="320" t="s">
        <v>1486</v>
      </c>
      <c r="B1" s="320"/>
      <c r="C1" s="320"/>
      <c r="D1" s="320"/>
      <c r="E1" s="320"/>
      <c r="F1" s="320"/>
      <c r="G1" s="320"/>
      <c r="H1" s="320"/>
      <c r="I1" s="320"/>
      <c r="J1" s="320"/>
      <c r="K1" s="320"/>
      <c r="L1" s="320"/>
      <c r="M1" s="320"/>
      <c r="N1" s="320"/>
      <c r="O1" s="320"/>
      <c r="P1" s="320"/>
    </row>
    <row r="2" spans="1:16" ht="24" customHeight="1" x14ac:dyDescent="0.55000000000000004">
      <c r="A2" s="292" t="str">
        <f>IF(BorrowerName="","Borrower: [Not Set]","Borrower: "&amp;BorrowerName)&amp;"  |  All amounts in ₹ Cr. Defaults derived from latest audited year (Annual ÷ 52). Override yellow cells with actuals."</f>
        <v>Borrower: [Not Set]  |  All amounts in ₹ Cr. Defaults derived from latest audited year (Annual ÷ 52). Override yellow cells with actuals.</v>
      </c>
      <c r="B2" s="292"/>
      <c r="C2" s="292"/>
      <c r="D2" s="292"/>
      <c r="E2" s="292"/>
      <c r="F2" s="292"/>
      <c r="G2" s="292"/>
      <c r="H2" s="292"/>
      <c r="I2" s="292"/>
      <c r="J2" s="292"/>
      <c r="K2" s="292"/>
      <c r="L2" s="292"/>
      <c r="M2" s="292"/>
      <c r="N2" s="292"/>
      <c r="O2" s="292"/>
      <c r="P2" s="292"/>
    </row>
    <row r="3" spans="1:16" ht="6" customHeight="1" x14ac:dyDescent="0.55000000000000004">
      <c r="A3" s="10"/>
      <c r="B3" s="10"/>
      <c r="C3" s="10"/>
      <c r="D3" s="10"/>
      <c r="E3" s="10"/>
      <c r="F3" s="10"/>
      <c r="G3" s="10"/>
      <c r="H3" s="10"/>
      <c r="I3" s="10"/>
      <c r="J3" s="10"/>
      <c r="K3" s="10"/>
      <c r="L3" s="10"/>
      <c r="M3" s="10"/>
      <c r="N3" s="10"/>
      <c r="O3" s="10"/>
      <c r="P3" s="10"/>
    </row>
    <row r="4" spans="1:16" ht="30" customHeight="1" x14ac:dyDescent="0.55000000000000004">
      <c r="A4" s="18" t="s">
        <v>1487</v>
      </c>
      <c r="B4" s="166" t="s">
        <v>1488</v>
      </c>
      <c r="C4" s="17" t="s">
        <v>1489</v>
      </c>
      <c r="D4" s="17" t="s">
        <v>1490</v>
      </c>
      <c r="E4" s="17" t="s">
        <v>1491</v>
      </c>
      <c r="F4" s="17" t="s">
        <v>1492</v>
      </c>
      <c r="G4" s="17" t="s">
        <v>1493</v>
      </c>
      <c r="H4" s="17" t="s">
        <v>1494</v>
      </c>
      <c r="I4" s="17" t="s">
        <v>1495</v>
      </c>
      <c r="J4" s="17" t="s">
        <v>1496</v>
      </c>
      <c r="K4" s="17" t="s">
        <v>1497</v>
      </c>
      <c r="L4" s="17" t="s">
        <v>1498</v>
      </c>
      <c r="M4" s="17" t="s">
        <v>1499</v>
      </c>
      <c r="N4" s="17" t="s">
        <v>1500</v>
      </c>
      <c r="O4" s="17" t="s">
        <v>1501</v>
      </c>
      <c r="P4" s="166" t="s">
        <v>1502</v>
      </c>
    </row>
    <row r="5" spans="1:16" ht="21.75" customHeight="1" x14ac:dyDescent="0.55000000000000004">
      <c r="A5" s="9" t="s">
        <v>1503</v>
      </c>
      <c r="B5" s="9"/>
      <c r="C5" s="9"/>
      <c r="D5" s="9"/>
      <c r="E5" s="9"/>
      <c r="F5" s="9"/>
      <c r="G5" s="9"/>
      <c r="H5" s="9"/>
      <c r="I5" s="9"/>
      <c r="J5" s="9"/>
      <c r="K5" s="9"/>
      <c r="L5" s="9"/>
      <c r="M5" s="9"/>
      <c r="N5" s="9"/>
      <c r="O5" s="9"/>
      <c r="P5" s="9"/>
    </row>
    <row r="6" spans="1:16" ht="21.75" customHeight="1" x14ac:dyDescent="0.55000000000000004">
      <c r="A6" s="38" t="s">
        <v>1504</v>
      </c>
      <c r="B6" s="217">
        <f>IFERROR(INDEX('3_Balance_Sheet'!C55:N55,1,LatestAudCol)+INDEX('3_Balance_Sheet'!C57:N57,1,LatestAudCol),0)</f>
        <v>0</v>
      </c>
      <c r="C6" s="218">
        <f t="shared" ref="C6:O6" si="0">B29</f>
        <v>0</v>
      </c>
      <c r="D6" s="218">
        <f t="shared" si="0"/>
        <v>0</v>
      </c>
      <c r="E6" s="218">
        <f t="shared" si="0"/>
        <v>0</v>
      </c>
      <c r="F6" s="218">
        <f t="shared" si="0"/>
        <v>0</v>
      </c>
      <c r="G6" s="218">
        <f t="shared" si="0"/>
        <v>0</v>
      </c>
      <c r="H6" s="218">
        <f t="shared" si="0"/>
        <v>0</v>
      </c>
      <c r="I6" s="218">
        <f t="shared" si="0"/>
        <v>0</v>
      </c>
      <c r="J6" s="218">
        <f t="shared" si="0"/>
        <v>0</v>
      </c>
      <c r="K6" s="218">
        <f t="shared" si="0"/>
        <v>0</v>
      </c>
      <c r="L6" s="218">
        <f t="shared" si="0"/>
        <v>0</v>
      </c>
      <c r="M6" s="218">
        <f t="shared" si="0"/>
        <v>0</v>
      </c>
      <c r="N6" s="218">
        <f t="shared" si="0"/>
        <v>0</v>
      </c>
      <c r="O6" s="218">
        <f t="shared" si="0"/>
        <v>0</v>
      </c>
    </row>
    <row r="7" spans="1:16" ht="21.75" customHeight="1" x14ac:dyDescent="0.55000000000000004">
      <c r="A7" s="9" t="s">
        <v>1505</v>
      </c>
      <c r="B7" s="9"/>
      <c r="C7" s="9"/>
      <c r="D7" s="9"/>
      <c r="E7" s="9"/>
      <c r="F7" s="9"/>
      <c r="G7" s="9"/>
      <c r="H7" s="9"/>
      <c r="I7" s="9"/>
      <c r="J7" s="9"/>
      <c r="K7" s="9"/>
      <c r="L7" s="9"/>
      <c r="M7" s="9"/>
      <c r="N7" s="9"/>
      <c r="O7" s="9"/>
      <c r="P7" s="9"/>
    </row>
    <row r="8" spans="1:16" ht="18" customHeight="1" x14ac:dyDescent="0.55000000000000004">
      <c r="A8" s="156" t="s">
        <v>1506</v>
      </c>
      <c r="B8" s="74">
        <f>IFERROR(INDEX('2_Operating_Statement'!C13:N13,1,LatestAudCol)*0.2/52,0)</f>
        <v>0</v>
      </c>
      <c r="C8" s="74">
        <f>IFERROR(INDEX('2_Operating_Statement'!C13:N13,1,LatestAudCol)*0.2/52,0)</f>
        <v>0</v>
      </c>
      <c r="D8" s="74">
        <f>IFERROR(INDEX('2_Operating_Statement'!C13:N13,1,LatestAudCol)*0.2/52,0)</f>
        <v>0</v>
      </c>
      <c r="E8" s="74">
        <f>IFERROR(INDEX('2_Operating_Statement'!C13:N13,1,LatestAudCol)*0.2/52,0)</f>
        <v>0</v>
      </c>
      <c r="F8" s="74">
        <f>IFERROR(INDEX('2_Operating_Statement'!C13:N13,1,LatestAudCol)*0.2/52,0)</f>
        <v>0</v>
      </c>
      <c r="G8" s="74">
        <f>IFERROR(INDEX('2_Operating_Statement'!C13:N13,1,LatestAudCol)*0.2/52,0)</f>
        <v>0</v>
      </c>
      <c r="H8" s="74">
        <f>IFERROR(INDEX('2_Operating_Statement'!C13:N13,1,LatestAudCol)*0.2/52,0)</f>
        <v>0</v>
      </c>
      <c r="I8" s="74">
        <f>IFERROR(INDEX('2_Operating_Statement'!C13:N13,1,LatestAudCol)*0.2/52,0)</f>
        <v>0</v>
      </c>
      <c r="J8" s="74">
        <f>IFERROR(INDEX('2_Operating_Statement'!C13:N13,1,LatestAudCol)*0.2/52,0)</f>
        <v>0</v>
      </c>
      <c r="K8" s="74">
        <f>IFERROR(INDEX('2_Operating_Statement'!C13:N13,1,LatestAudCol)*0.2/52,0)</f>
        <v>0</v>
      </c>
      <c r="L8" s="74">
        <f>IFERROR(INDEX('2_Operating_Statement'!C13:N13,1,LatestAudCol)*0.2/52,0)</f>
        <v>0</v>
      </c>
      <c r="M8" s="74">
        <f>IFERROR(INDEX('2_Operating_Statement'!C13:N13,1,LatestAudCol)*0.2/52,0)</f>
        <v>0</v>
      </c>
      <c r="N8" s="74">
        <f>IFERROR(INDEX('2_Operating_Statement'!C13:N13,1,LatestAudCol)*0.2/52,0)</f>
        <v>0</v>
      </c>
      <c r="O8" s="74">
        <f>IFERROR(INDEX('2_Operating_Statement'!C13:N13,1,LatestAudCol)*0.2/52,0)</f>
        <v>0</v>
      </c>
      <c r="P8" s="218">
        <f>SUM(C8:O8)</f>
        <v>0</v>
      </c>
    </row>
    <row r="9" spans="1:16" ht="18" customHeight="1" x14ac:dyDescent="0.55000000000000004">
      <c r="A9" s="156" t="s">
        <v>1507</v>
      </c>
      <c r="B9" s="74">
        <f>IFERROR(INDEX('2_Operating_Statement'!C13:N13,1,LatestAudCol)*0.7/52,0)</f>
        <v>0</v>
      </c>
      <c r="C9" s="74">
        <f>IFERROR(INDEX('2_Operating_Statement'!C13:N13,1,LatestAudCol)*0.7/52,0)</f>
        <v>0</v>
      </c>
      <c r="D9" s="74">
        <f>IFERROR(INDEX('2_Operating_Statement'!C13:N13,1,LatestAudCol)*0.7/52,0)</f>
        <v>0</v>
      </c>
      <c r="E9" s="74">
        <f>IFERROR(INDEX('2_Operating_Statement'!C13:N13,1,LatestAudCol)*0.7/52,0)</f>
        <v>0</v>
      </c>
      <c r="F9" s="74">
        <f>IFERROR(INDEX('2_Operating_Statement'!C13:N13,1,LatestAudCol)*0.7/52,0)</f>
        <v>0</v>
      </c>
      <c r="G9" s="74">
        <f>IFERROR(INDEX('2_Operating_Statement'!C13:N13,1,LatestAudCol)*0.7/52,0)</f>
        <v>0</v>
      </c>
      <c r="H9" s="74">
        <f>IFERROR(INDEX('2_Operating_Statement'!C13:N13,1,LatestAudCol)*0.7/52,0)</f>
        <v>0</v>
      </c>
      <c r="I9" s="74">
        <f>IFERROR(INDEX('2_Operating_Statement'!C13:N13,1,LatestAudCol)*0.7/52,0)</f>
        <v>0</v>
      </c>
      <c r="J9" s="74">
        <f>IFERROR(INDEX('2_Operating_Statement'!C13:N13,1,LatestAudCol)*0.7/52,0)</f>
        <v>0</v>
      </c>
      <c r="K9" s="74">
        <f>IFERROR(INDEX('2_Operating_Statement'!C13:N13,1,LatestAudCol)*0.7/52,0)</f>
        <v>0</v>
      </c>
      <c r="L9" s="74">
        <f>IFERROR(INDEX('2_Operating_Statement'!C13:N13,1,LatestAudCol)*0.7/52,0)</f>
        <v>0</v>
      </c>
      <c r="M9" s="74">
        <f>IFERROR(INDEX('2_Operating_Statement'!C13:N13,1,LatestAudCol)*0.7/52,0)</f>
        <v>0</v>
      </c>
      <c r="N9" s="74">
        <f>IFERROR(INDEX('2_Operating_Statement'!C13:N13,1,LatestAudCol)*0.7/52,0)</f>
        <v>0</v>
      </c>
      <c r="O9" s="74">
        <f>IFERROR(INDEX('2_Operating_Statement'!C13:N13,1,LatestAudCol)*0.7/52,0)</f>
        <v>0</v>
      </c>
      <c r="P9" s="218">
        <f>SUM(C9:O9)</f>
        <v>0</v>
      </c>
    </row>
    <row r="10" spans="1:16" ht="18" customHeight="1" x14ac:dyDescent="0.55000000000000004">
      <c r="A10" s="156" t="s">
        <v>1508</v>
      </c>
      <c r="B10" s="74">
        <f>IFERROR(INDEX('2_Operating_Statement'!C13:N13,1,LatestAudCol)*0.1/52,0)</f>
        <v>0</v>
      </c>
      <c r="C10" s="74">
        <f>IFERROR(INDEX('2_Operating_Statement'!C13:N13,1,LatestAudCol)*0.1/52,0)</f>
        <v>0</v>
      </c>
      <c r="D10" s="74">
        <f>IFERROR(INDEX('2_Operating_Statement'!C13:N13,1,LatestAudCol)*0.1/52,0)</f>
        <v>0</v>
      </c>
      <c r="E10" s="74">
        <f>IFERROR(INDEX('2_Operating_Statement'!C13:N13,1,LatestAudCol)*0.1/52,0)</f>
        <v>0</v>
      </c>
      <c r="F10" s="74">
        <f>IFERROR(INDEX('2_Operating_Statement'!C13:N13,1,LatestAudCol)*0.1/52,0)</f>
        <v>0</v>
      </c>
      <c r="G10" s="74">
        <f>IFERROR(INDEX('2_Operating_Statement'!C13:N13,1,LatestAudCol)*0.1/52,0)</f>
        <v>0</v>
      </c>
      <c r="H10" s="74">
        <f>IFERROR(INDEX('2_Operating_Statement'!C13:N13,1,LatestAudCol)*0.1/52,0)</f>
        <v>0</v>
      </c>
      <c r="I10" s="74">
        <f>IFERROR(INDEX('2_Operating_Statement'!C13:N13,1,LatestAudCol)*0.1/52,0)</f>
        <v>0</v>
      </c>
      <c r="J10" s="74">
        <f>IFERROR(INDEX('2_Operating_Statement'!C13:N13,1,LatestAudCol)*0.1/52,0)</f>
        <v>0</v>
      </c>
      <c r="K10" s="74">
        <f>IFERROR(INDEX('2_Operating_Statement'!C13:N13,1,LatestAudCol)*0.1/52,0)</f>
        <v>0</v>
      </c>
      <c r="L10" s="74">
        <f>IFERROR(INDEX('2_Operating_Statement'!C13:N13,1,LatestAudCol)*0.1/52,0)</f>
        <v>0</v>
      </c>
      <c r="M10" s="74">
        <f>IFERROR(INDEX('2_Operating_Statement'!C13:N13,1,LatestAudCol)*0.1/52,0)</f>
        <v>0</v>
      </c>
      <c r="N10" s="74">
        <f>IFERROR(INDEX('2_Operating_Statement'!C13:N13,1,LatestAudCol)*0.1/52,0)</f>
        <v>0</v>
      </c>
      <c r="O10" s="74">
        <f>IFERROR(INDEX('2_Operating_Statement'!C13:N13,1,LatestAudCol)*0.1/52,0)</f>
        <v>0</v>
      </c>
      <c r="P10" s="218">
        <f>SUM(C10:O10)</f>
        <v>0</v>
      </c>
    </row>
    <row r="11" spans="1:16" ht="18" customHeight="1" x14ac:dyDescent="0.55000000000000004">
      <c r="A11" s="156" t="s">
        <v>1509</v>
      </c>
      <c r="B11" s="74">
        <f>0</f>
        <v>0</v>
      </c>
      <c r="C11" s="74">
        <f>0</f>
        <v>0</v>
      </c>
      <c r="D11" s="74">
        <f>0</f>
        <v>0</v>
      </c>
      <c r="E11" s="74">
        <f>0</f>
        <v>0</v>
      </c>
      <c r="F11" s="74">
        <f>0</f>
        <v>0</v>
      </c>
      <c r="G11" s="74">
        <f>0</f>
        <v>0</v>
      </c>
      <c r="H11" s="74">
        <f>0</f>
        <v>0</v>
      </c>
      <c r="I11" s="74">
        <f>0</f>
        <v>0</v>
      </c>
      <c r="J11" s="74">
        <f>0</f>
        <v>0</v>
      </c>
      <c r="K11" s="74">
        <f>0</f>
        <v>0</v>
      </c>
      <c r="L11" s="74">
        <f>0</f>
        <v>0</v>
      </c>
      <c r="M11" s="74">
        <f>0</f>
        <v>0</v>
      </c>
      <c r="N11" s="74">
        <f>0</f>
        <v>0</v>
      </c>
      <c r="O11" s="74">
        <f>0</f>
        <v>0</v>
      </c>
      <c r="P11" s="218">
        <f>SUM(C11:O11)</f>
        <v>0</v>
      </c>
    </row>
    <row r="12" spans="1:16" ht="21.75" customHeight="1" x14ac:dyDescent="0.55000000000000004">
      <c r="A12" s="219" t="s">
        <v>1510</v>
      </c>
      <c r="B12" s="220">
        <f t="shared" ref="B12:O12" si="1">SUM(B8,B9,B10,B11)</f>
        <v>0</v>
      </c>
      <c r="C12" s="220">
        <f t="shared" si="1"/>
        <v>0</v>
      </c>
      <c r="D12" s="220">
        <f t="shared" si="1"/>
        <v>0</v>
      </c>
      <c r="E12" s="220">
        <f t="shared" si="1"/>
        <v>0</v>
      </c>
      <c r="F12" s="220">
        <f t="shared" si="1"/>
        <v>0</v>
      </c>
      <c r="G12" s="220">
        <f t="shared" si="1"/>
        <v>0</v>
      </c>
      <c r="H12" s="220">
        <f t="shared" si="1"/>
        <v>0</v>
      </c>
      <c r="I12" s="220">
        <f t="shared" si="1"/>
        <v>0</v>
      </c>
      <c r="J12" s="220">
        <f t="shared" si="1"/>
        <v>0</v>
      </c>
      <c r="K12" s="220">
        <f t="shared" si="1"/>
        <v>0</v>
      </c>
      <c r="L12" s="220">
        <f t="shared" si="1"/>
        <v>0</v>
      </c>
      <c r="M12" s="220">
        <f t="shared" si="1"/>
        <v>0</v>
      </c>
      <c r="N12" s="220">
        <f t="shared" si="1"/>
        <v>0</v>
      </c>
      <c r="O12" s="220">
        <f t="shared" si="1"/>
        <v>0</v>
      </c>
      <c r="P12" s="220">
        <f>SUM(C12:O12)</f>
        <v>0</v>
      </c>
    </row>
    <row r="13" spans="1:16" ht="21.75" customHeight="1" x14ac:dyDescent="0.55000000000000004">
      <c r="A13" s="9" t="s">
        <v>1511</v>
      </c>
      <c r="B13" s="9"/>
      <c r="C13" s="9"/>
      <c r="D13" s="9"/>
      <c r="E13" s="9"/>
      <c r="F13" s="9"/>
      <c r="G13" s="9"/>
      <c r="H13" s="9"/>
      <c r="I13" s="9"/>
      <c r="J13" s="9"/>
      <c r="K13" s="9"/>
      <c r="L13" s="9"/>
      <c r="M13" s="9"/>
      <c r="N13" s="9"/>
      <c r="O13" s="9"/>
      <c r="P13" s="9"/>
    </row>
    <row r="14" spans="1:16" ht="18" customHeight="1" x14ac:dyDescent="0.55000000000000004">
      <c r="A14" s="156" t="s">
        <v>1512</v>
      </c>
      <c r="B14" s="74">
        <f>IFERROR(INDEX('2_Operating_Statement'!C16:N16,1,LatestAudCol)/52,0)</f>
        <v>0</v>
      </c>
      <c r="C14" s="74">
        <f>IFERROR(INDEX('2_Operating_Statement'!C16:N16,1,LatestAudCol)/52,0)</f>
        <v>0</v>
      </c>
      <c r="D14" s="74">
        <f>IFERROR(INDEX('2_Operating_Statement'!C16:N16,1,LatestAudCol)/52,0)</f>
        <v>0</v>
      </c>
      <c r="E14" s="74">
        <f>IFERROR(INDEX('2_Operating_Statement'!C16:N16,1,LatestAudCol)/52,0)</f>
        <v>0</v>
      </c>
      <c r="F14" s="74">
        <f>IFERROR(INDEX('2_Operating_Statement'!C16:N16,1,LatestAudCol)/52,0)</f>
        <v>0</v>
      </c>
      <c r="G14" s="74">
        <f>IFERROR(INDEX('2_Operating_Statement'!C16:N16,1,LatestAudCol)/52,0)</f>
        <v>0</v>
      </c>
      <c r="H14" s="74">
        <f>IFERROR(INDEX('2_Operating_Statement'!C16:N16,1,LatestAudCol)/52,0)</f>
        <v>0</v>
      </c>
      <c r="I14" s="74">
        <f>IFERROR(INDEX('2_Operating_Statement'!C16:N16,1,LatestAudCol)/52,0)</f>
        <v>0</v>
      </c>
      <c r="J14" s="74">
        <f>IFERROR(INDEX('2_Operating_Statement'!C16:N16,1,LatestAudCol)/52,0)</f>
        <v>0</v>
      </c>
      <c r="K14" s="74">
        <f>IFERROR(INDEX('2_Operating_Statement'!C16:N16,1,LatestAudCol)/52,0)</f>
        <v>0</v>
      </c>
      <c r="L14" s="74">
        <f>IFERROR(INDEX('2_Operating_Statement'!C16:N16,1,LatestAudCol)/52,0)</f>
        <v>0</v>
      </c>
      <c r="M14" s="74">
        <f>IFERROR(INDEX('2_Operating_Statement'!C16:N16,1,LatestAudCol)/52,0)</f>
        <v>0</v>
      </c>
      <c r="N14" s="74">
        <f>IFERROR(INDEX('2_Operating_Statement'!C16:N16,1,LatestAudCol)/52,0)</f>
        <v>0</v>
      </c>
      <c r="O14" s="74">
        <f>IFERROR(INDEX('2_Operating_Statement'!C16:N16,1,LatestAudCol)/52,0)</f>
        <v>0</v>
      </c>
      <c r="P14" s="218">
        <f t="shared" ref="P14:P20" si="2">SUM(C14:O14)</f>
        <v>0</v>
      </c>
    </row>
    <row r="15" spans="1:16" ht="18" customHeight="1" x14ac:dyDescent="0.55000000000000004">
      <c r="A15" s="156" t="s">
        <v>1513</v>
      </c>
      <c r="B15" s="74">
        <f>IFERROR((INDEX('2_Operating_Statement'!C13:N13,1,LatestAudCol)*0.08)/52,0)</f>
        <v>0</v>
      </c>
      <c r="C15" s="74">
        <f>IFERROR((INDEX('2_Operating_Statement'!C13:N13,1,LatestAudCol)*0.08)/52,0)</f>
        <v>0</v>
      </c>
      <c r="D15" s="74">
        <f>IFERROR((INDEX('2_Operating_Statement'!C13:N13,1,LatestAudCol)*0.08)/52,0)</f>
        <v>0</v>
      </c>
      <c r="E15" s="74">
        <f>IFERROR((INDEX('2_Operating_Statement'!C13:N13,1,LatestAudCol)*0.08)/52,0)</f>
        <v>0</v>
      </c>
      <c r="F15" s="74">
        <f>IFERROR((INDEX('2_Operating_Statement'!C13:N13,1,LatestAudCol)*0.08)/52,0)</f>
        <v>0</v>
      </c>
      <c r="G15" s="74">
        <f>IFERROR((INDEX('2_Operating_Statement'!C13:N13,1,LatestAudCol)*0.08)/52,0)</f>
        <v>0</v>
      </c>
      <c r="H15" s="74">
        <f>IFERROR((INDEX('2_Operating_Statement'!C13:N13,1,LatestAudCol)*0.08)/52,0)</f>
        <v>0</v>
      </c>
      <c r="I15" s="74">
        <f>IFERROR((INDEX('2_Operating_Statement'!C13:N13,1,LatestAudCol)*0.08)/52,0)</f>
        <v>0</v>
      </c>
      <c r="J15" s="74">
        <f>IFERROR((INDEX('2_Operating_Statement'!C13:N13,1,LatestAudCol)*0.08)/52,0)</f>
        <v>0</v>
      </c>
      <c r="K15" s="74">
        <f>IFERROR((INDEX('2_Operating_Statement'!C13:N13,1,LatestAudCol)*0.08)/52,0)</f>
        <v>0</v>
      </c>
      <c r="L15" s="74">
        <f>IFERROR((INDEX('2_Operating_Statement'!C13:N13,1,LatestAudCol)*0.08)/52,0)</f>
        <v>0</v>
      </c>
      <c r="M15" s="74">
        <f>IFERROR((INDEX('2_Operating_Statement'!C13:N13,1,LatestAudCol)*0.08)/52,0)</f>
        <v>0</v>
      </c>
      <c r="N15" s="74">
        <f>IFERROR((INDEX('2_Operating_Statement'!C13:N13,1,LatestAudCol)*0.08)/52,0)</f>
        <v>0</v>
      </c>
      <c r="O15" s="74">
        <f>IFERROR((INDEX('2_Operating_Statement'!C13:N13,1,LatestAudCol)*0.08)/52,0)</f>
        <v>0</v>
      </c>
      <c r="P15" s="218">
        <f t="shared" si="2"/>
        <v>0</v>
      </c>
    </row>
    <row r="16" spans="1:16" ht="18" customHeight="1" x14ac:dyDescent="0.55000000000000004">
      <c r="A16" s="156" t="s">
        <v>1514</v>
      </c>
      <c r="B16" s="74">
        <f>IFERROR((INDEX('2_Operating_Statement'!C13:N13,1,LatestAudCol)*0.05)/52,0)</f>
        <v>0</v>
      </c>
      <c r="C16" s="74">
        <f>IFERROR((INDEX('2_Operating_Statement'!C13:N13,1,LatestAudCol)*0.05)/52,0)</f>
        <v>0</v>
      </c>
      <c r="D16" s="74">
        <f>IFERROR((INDEX('2_Operating_Statement'!C13:N13,1,LatestAudCol)*0.05)/52,0)</f>
        <v>0</v>
      </c>
      <c r="E16" s="74">
        <f>IFERROR((INDEX('2_Operating_Statement'!C13:N13,1,LatestAudCol)*0.05)/52,0)</f>
        <v>0</v>
      </c>
      <c r="F16" s="74">
        <f>IFERROR((INDEX('2_Operating_Statement'!C13:N13,1,LatestAudCol)*0.05)/52,0)</f>
        <v>0</v>
      </c>
      <c r="G16" s="74">
        <f>IFERROR((INDEX('2_Operating_Statement'!C13:N13,1,LatestAudCol)*0.05)/52,0)</f>
        <v>0</v>
      </c>
      <c r="H16" s="74">
        <f>IFERROR((INDEX('2_Operating_Statement'!C13:N13,1,LatestAudCol)*0.05)/52,0)</f>
        <v>0</v>
      </c>
      <c r="I16" s="74">
        <f>IFERROR((INDEX('2_Operating_Statement'!C13:N13,1,LatestAudCol)*0.05)/52,0)</f>
        <v>0</v>
      </c>
      <c r="J16" s="74">
        <f>IFERROR((INDEX('2_Operating_Statement'!C13:N13,1,LatestAudCol)*0.05)/52,0)</f>
        <v>0</v>
      </c>
      <c r="K16" s="74">
        <f>IFERROR((INDEX('2_Operating_Statement'!C13:N13,1,LatestAudCol)*0.05)/52,0)</f>
        <v>0</v>
      </c>
      <c r="L16" s="74">
        <f>IFERROR((INDEX('2_Operating_Statement'!C13:N13,1,LatestAudCol)*0.05)/52,0)</f>
        <v>0</v>
      </c>
      <c r="M16" s="74">
        <f>IFERROR((INDEX('2_Operating_Statement'!C13:N13,1,LatestAudCol)*0.05)/52,0)</f>
        <v>0</v>
      </c>
      <c r="N16" s="74">
        <f>IFERROR((INDEX('2_Operating_Statement'!C13:N13,1,LatestAudCol)*0.05)/52,0)</f>
        <v>0</v>
      </c>
      <c r="O16" s="74">
        <f>IFERROR((INDEX('2_Operating_Statement'!C13:N13,1,LatestAudCol)*0.05)/52,0)</f>
        <v>0</v>
      </c>
      <c r="P16" s="218">
        <f t="shared" si="2"/>
        <v>0</v>
      </c>
    </row>
    <row r="17" spans="1:16" ht="18" customHeight="1" x14ac:dyDescent="0.55000000000000004">
      <c r="A17" s="156" t="s">
        <v>1515</v>
      </c>
      <c r="B17" s="74">
        <f>IFERROR(INDEX('2_Operating_Statement'!C13:N13,1,LatestAudCol)*0.03/52,0)</f>
        <v>0</v>
      </c>
      <c r="C17" s="74">
        <f>IFERROR(INDEX('2_Operating_Statement'!C13:N13,1,LatestAudCol)*0.03/52,0)</f>
        <v>0</v>
      </c>
      <c r="D17" s="74">
        <f>IFERROR(INDEX('2_Operating_Statement'!C13:N13,1,LatestAudCol)*0.03/52,0)</f>
        <v>0</v>
      </c>
      <c r="E17" s="74">
        <f>IFERROR(INDEX('2_Operating_Statement'!C13:N13,1,LatestAudCol)*0.03/52,0)</f>
        <v>0</v>
      </c>
      <c r="F17" s="74">
        <f>IFERROR(INDEX('2_Operating_Statement'!C13:N13,1,LatestAudCol)*0.03/52,0)</f>
        <v>0</v>
      </c>
      <c r="G17" s="74">
        <f>IFERROR(INDEX('2_Operating_Statement'!C13:N13,1,LatestAudCol)*0.03/52,0)</f>
        <v>0</v>
      </c>
      <c r="H17" s="74">
        <f>IFERROR(INDEX('2_Operating_Statement'!C13:N13,1,LatestAudCol)*0.03/52,0)</f>
        <v>0</v>
      </c>
      <c r="I17" s="74">
        <f>IFERROR(INDEX('2_Operating_Statement'!C13:N13,1,LatestAudCol)*0.03/52,0)</f>
        <v>0</v>
      </c>
      <c r="J17" s="74">
        <f>IFERROR(INDEX('2_Operating_Statement'!C13:N13,1,LatestAudCol)*0.03/52,0)</f>
        <v>0</v>
      </c>
      <c r="K17" s="74">
        <f>IFERROR(INDEX('2_Operating_Statement'!C13:N13,1,LatestAudCol)*0.03/52,0)</f>
        <v>0</v>
      </c>
      <c r="L17" s="74">
        <f>IFERROR(INDEX('2_Operating_Statement'!C13:N13,1,LatestAudCol)*0.03/52,0)</f>
        <v>0</v>
      </c>
      <c r="M17" s="74">
        <f>IFERROR(INDEX('2_Operating_Statement'!C13:N13,1,LatestAudCol)*0.03/52,0)</f>
        <v>0</v>
      </c>
      <c r="N17" s="74">
        <f>IFERROR(INDEX('2_Operating_Statement'!C13:N13,1,LatestAudCol)*0.03/52,0)</f>
        <v>0</v>
      </c>
      <c r="O17" s="74">
        <f>IFERROR(INDEX('2_Operating_Statement'!C13:N13,1,LatestAudCol)*0.03/52,0)</f>
        <v>0</v>
      </c>
      <c r="P17" s="218">
        <f t="shared" si="2"/>
        <v>0</v>
      </c>
    </row>
    <row r="18" spans="1:16" ht="18" customHeight="1" x14ac:dyDescent="0.55000000000000004">
      <c r="A18" s="156" t="s">
        <v>1516</v>
      </c>
      <c r="B18" s="74">
        <f>0</f>
        <v>0</v>
      </c>
      <c r="C18" s="74">
        <f>0</f>
        <v>0</v>
      </c>
      <c r="D18" s="74">
        <f>0</f>
        <v>0</v>
      </c>
      <c r="E18" s="74">
        <f>0</f>
        <v>0</v>
      </c>
      <c r="F18" s="74">
        <f>0</f>
        <v>0</v>
      </c>
      <c r="G18" s="74">
        <f>0</f>
        <v>0</v>
      </c>
      <c r="H18" s="74">
        <f>0</f>
        <v>0</v>
      </c>
      <c r="I18" s="74">
        <f>0</f>
        <v>0</v>
      </c>
      <c r="J18" s="74">
        <f>0</f>
        <v>0</v>
      </c>
      <c r="K18" s="74">
        <f>0</f>
        <v>0</v>
      </c>
      <c r="L18" s="74">
        <f>0</f>
        <v>0</v>
      </c>
      <c r="M18" s="74">
        <f>0</f>
        <v>0</v>
      </c>
      <c r="N18" s="74">
        <f>0</f>
        <v>0</v>
      </c>
      <c r="O18" s="74">
        <f>0</f>
        <v>0</v>
      </c>
      <c r="P18" s="218">
        <f t="shared" si="2"/>
        <v>0</v>
      </c>
    </row>
    <row r="19" spans="1:16" ht="21.75" customHeight="1" x14ac:dyDescent="0.55000000000000004">
      <c r="A19" s="221" t="s">
        <v>1517</v>
      </c>
      <c r="B19" s="222">
        <f t="shared" ref="B19:O19" si="3">SUM(B14,B15,B16,B17,B18)</f>
        <v>0</v>
      </c>
      <c r="C19" s="222">
        <f t="shared" si="3"/>
        <v>0</v>
      </c>
      <c r="D19" s="222">
        <f t="shared" si="3"/>
        <v>0</v>
      </c>
      <c r="E19" s="222">
        <f t="shared" si="3"/>
        <v>0</v>
      </c>
      <c r="F19" s="222">
        <f t="shared" si="3"/>
        <v>0</v>
      </c>
      <c r="G19" s="222">
        <f t="shared" si="3"/>
        <v>0</v>
      </c>
      <c r="H19" s="222">
        <f t="shared" si="3"/>
        <v>0</v>
      </c>
      <c r="I19" s="222">
        <f t="shared" si="3"/>
        <v>0</v>
      </c>
      <c r="J19" s="222">
        <f t="shared" si="3"/>
        <v>0</v>
      </c>
      <c r="K19" s="222">
        <f t="shared" si="3"/>
        <v>0</v>
      </c>
      <c r="L19" s="222">
        <f t="shared" si="3"/>
        <v>0</v>
      </c>
      <c r="M19" s="222">
        <f t="shared" si="3"/>
        <v>0</v>
      </c>
      <c r="N19" s="222">
        <f t="shared" si="3"/>
        <v>0</v>
      </c>
      <c r="O19" s="222">
        <f t="shared" si="3"/>
        <v>0</v>
      </c>
      <c r="P19" s="222">
        <f t="shared" si="2"/>
        <v>0</v>
      </c>
    </row>
    <row r="20" spans="1:16" ht="21.75" customHeight="1" x14ac:dyDescent="0.55000000000000004">
      <c r="A20" s="24" t="s">
        <v>1518</v>
      </c>
      <c r="B20" s="223">
        <f t="shared" ref="B20:O20" si="4">B12-B19</f>
        <v>0</v>
      </c>
      <c r="C20" s="223">
        <f t="shared" si="4"/>
        <v>0</v>
      </c>
      <c r="D20" s="223">
        <f t="shared" si="4"/>
        <v>0</v>
      </c>
      <c r="E20" s="223">
        <f t="shared" si="4"/>
        <v>0</v>
      </c>
      <c r="F20" s="223">
        <f t="shared" si="4"/>
        <v>0</v>
      </c>
      <c r="G20" s="223">
        <f t="shared" si="4"/>
        <v>0</v>
      </c>
      <c r="H20" s="223">
        <f t="shared" si="4"/>
        <v>0</v>
      </c>
      <c r="I20" s="223">
        <f t="shared" si="4"/>
        <v>0</v>
      </c>
      <c r="J20" s="223">
        <f t="shared" si="4"/>
        <v>0</v>
      </c>
      <c r="K20" s="223">
        <f t="shared" si="4"/>
        <v>0</v>
      </c>
      <c r="L20" s="223">
        <f t="shared" si="4"/>
        <v>0</v>
      </c>
      <c r="M20" s="223">
        <f t="shared" si="4"/>
        <v>0</v>
      </c>
      <c r="N20" s="223">
        <f t="shared" si="4"/>
        <v>0</v>
      </c>
      <c r="O20" s="223">
        <f t="shared" si="4"/>
        <v>0</v>
      </c>
      <c r="P20" s="223">
        <f t="shared" si="2"/>
        <v>0</v>
      </c>
    </row>
    <row r="21" spans="1:16" ht="21.75" customHeight="1" x14ac:dyDescent="0.55000000000000004">
      <c r="A21" s="9" t="s">
        <v>1519</v>
      </c>
      <c r="B21" s="9"/>
      <c r="C21" s="9"/>
      <c r="D21" s="9"/>
      <c r="E21" s="9"/>
      <c r="F21" s="9"/>
      <c r="G21" s="9"/>
      <c r="H21" s="9"/>
      <c r="I21" s="9"/>
      <c r="J21" s="9"/>
      <c r="K21" s="9"/>
      <c r="L21" s="9"/>
      <c r="M21" s="9"/>
      <c r="N21" s="9"/>
      <c r="O21" s="9"/>
      <c r="P21" s="9"/>
    </row>
    <row r="22" spans="1:16" ht="18" customHeight="1" x14ac:dyDescent="0.55000000000000004">
      <c r="A22" s="156" t="s">
        <v>1520</v>
      </c>
      <c r="B22" s="224">
        <f>0</f>
        <v>0</v>
      </c>
      <c r="C22" s="224">
        <f>0</f>
        <v>0</v>
      </c>
      <c r="D22" s="224">
        <f>0</f>
        <v>0</v>
      </c>
      <c r="E22" s="224">
        <f>0</f>
        <v>0</v>
      </c>
      <c r="F22" s="224">
        <f>0</f>
        <v>0</v>
      </c>
      <c r="G22" s="224">
        <f>0</f>
        <v>0</v>
      </c>
      <c r="H22" s="224">
        <f>0</f>
        <v>0</v>
      </c>
      <c r="I22" s="224">
        <f>0</f>
        <v>0</v>
      </c>
      <c r="J22" s="224">
        <f>0</f>
        <v>0</v>
      </c>
      <c r="K22" s="224">
        <f>0</f>
        <v>0</v>
      </c>
      <c r="L22" s="224">
        <f>0</f>
        <v>0</v>
      </c>
      <c r="M22" s="224">
        <f>0</f>
        <v>0</v>
      </c>
      <c r="N22" s="224">
        <f>0</f>
        <v>0</v>
      </c>
      <c r="O22" s="224">
        <f>0</f>
        <v>0</v>
      </c>
      <c r="P22" s="225">
        <f t="shared" ref="P22:P28" si="5">SUM(C22:O22)</f>
        <v>0</v>
      </c>
    </row>
    <row r="23" spans="1:16" ht="18" customHeight="1" x14ac:dyDescent="0.55000000000000004">
      <c r="A23" s="156" t="s">
        <v>1521</v>
      </c>
      <c r="B23" s="224">
        <f>-IFERROR(INDEX('4_DSCR'!C13:N13,1,LatestAudCol)/52,0)</f>
        <v>0</v>
      </c>
      <c r="C23" s="224">
        <f>-IFERROR(INDEX('4_DSCR'!C13:N13,1,LatestAudCol)/52,0)</f>
        <v>0</v>
      </c>
      <c r="D23" s="224">
        <f>-IFERROR(INDEX('4_DSCR'!C13:N13,1,LatestAudCol)/52,0)</f>
        <v>0</v>
      </c>
      <c r="E23" s="224">
        <f>-IFERROR(INDEX('4_DSCR'!C13:N13,1,LatestAudCol)/52,0)</f>
        <v>0</v>
      </c>
      <c r="F23" s="224">
        <f>-IFERROR(INDEX('4_DSCR'!C13:N13,1,LatestAudCol)/52,0)</f>
        <v>0</v>
      </c>
      <c r="G23" s="224">
        <f>-IFERROR(INDEX('4_DSCR'!C13:N13,1,LatestAudCol)/52,0)</f>
        <v>0</v>
      </c>
      <c r="H23" s="224">
        <f>-IFERROR(INDEX('4_DSCR'!C13:N13,1,LatestAudCol)/52,0)</f>
        <v>0</v>
      </c>
      <c r="I23" s="224">
        <f>-IFERROR(INDEX('4_DSCR'!C13:N13,1,LatestAudCol)/52,0)</f>
        <v>0</v>
      </c>
      <c r="J23" s="224">
        <f>-IFERROR(INDEX('4_DSCR'!C13:N13,1,LatestAudCol)/52,0)</f>
        <v>0</v>
      </c>
      <c r="K23" s="224">
        <f>-IFERROR(INDEX('4_DSCR'!C13:N13,1,LatestAudCol)/52,0)</f>
        <v>0</v>
      </c>
      <c r="L23" s="224">
        <f>-IFERROR(INDEX('4_DSCR'!C13:N13,1,LatestAudCol)/52,0)</f>
        <v>0</v>
      </c>
      <c r="M23" s="224">
        <f>-IFERROR(INDEX('4_DSCR'!C13:N13,1,LatestAudCol)/52,0)</f>
        <v>0</v>
      </c>
      <c r="N23" s="224">
        <f>-IFERROR(INDEX('4_DSCR'!C13:N13,1,LatestAudCol)/52,0)</f>
        <v>0</v>
      </c>
      <c r="O23" s="224">
        <f>-IFERROR(INDEX('4_DSCR'!C13:N13,1,LatestAudCol)/52,0)</f>
        <v>0</v>
      </c>
      <c r="P23" s="225">
        <f t="shared" si="5"/>
        <v>0</v>
      </c>
    </row>
    <row r="24" spans="1:16" ht="18" customHeight="1" x14ac:dyDescent="0.55000000000000004">
      <c r="A24" s="156" t="s">
        <v>1522</v>
      </c>
      <c r="B24" s="224">
        <f>-IFERROR(INDEX('2_Operating_Statement'!C35:N35,1,LatestAudCol)/52,0)</f>
        <v>0</v>
      </c>
      <c r="C24" s="224">
        <f>-IFERROR(INDEX('2_Operating_Statement'!C35:N35,1,LatestAudCol)/52,0)</f>
        <v>0</v>
      </c>
      <c r="D24" s="224">
        <f>-IFERROR(INDEX('2_Operating_Statement'!C35:N35,1,LatestAudCol)/52,0)</f>
        <v>0</v>
      </c>
      <c r="E24" s="224">
        <f>-IFERROR(INDEX('2_Operating_Statement'!C35:N35,1,LatestAudCol)/52,0)</f>
        <v>0</v>
      </c>
      <c r="F24" s="224">
        <f>-IFERROR(INDEX('2_Operating_Statement'!C35:N35,1,LatestAudCol)/52,0)</f>
        <v>0</v>
      </c>
      <c r="G24" s="224">
        <f>-IFERROR(INDEX('2_Operating_Statement'!C35:N35,1,LatestAudCol)/52,0)</f>
        <v>0</v>
      </c>
      <c r="H24" s="224">
        <f>-IFERROR(INDEX('2_Operating_Statement'!C35:N35,1,LatestAudCol)/52,0)</f>
        <v>0</v>
      </c>
      <c r="I24" s="224">
        <f>-IFERROR(INDEX('2_Operating_Statement'!C35:N35,1,LatestAudCol)/52,0)</f>
        <v>0</v>
      </c>
      <c r="J24" s="224">
        <f>-IFERROR(INDEX('2_Operating_Statement'!C35:N35,1,LatestAudCol)/52,0)</f>
        <v>0</v>
      </c>
      <c r="K24" s="224">
        <f>-IFERROR(INDEX('2_Operating_Statement'!C35:N35,1,LatestAudCol)/52,0)</f>
        <v>0</v>
      </c>
      <c r="L24" s="224">
        <f>-IFERROR(INDEX('2_Operating_Statement'!C35:N35,1,LatestAudCol)/52,0)</f>
        <v>0</v>
      </c>
      <c r="M24" s="224">
        <f>-IFERROR(INDEX('2_Operating_Statement'!C35:N35,1,LatestAudCol)/52,0)</f>
        <v>0</v>
      </c>
      <c r="N24" s="224">
        <f>-IFERROR(INDEX('2_Operating_Statement'!C35:N35,1,LatestAudCol)/52,0)</f>
        <v>0</v>
      </c>
      <c r="O24" s="224">
        <f>-IFERROR(INDEX('2_Operating_Statement'!C35:N35,1,LatestAudCol)/52,0)</f>
        <v>0</v>
      </c>
      <c r="P24" s="225">
        <f t="shared" si="5"/>
        <v>0</v>
      </c>
    </row>
    <row r="25" spans="1:16" ht="18" customHeight="1" x14ac:dyDescent="0.55000000000000004">
      <c r="A25" s="156" t="s">
        <v>1523</v>
      </c>
      <c r="B25" s="224">
        <f>-IFERROR(INDEX('2_Operating_Statement'!C34:N34,1,LatestAudCol)/52,0)</f>
        <v>0</v>
      </c>
      <c r="C25" s="224">
        <f>-IFERROR(INDEX('2_Operating_Statement'!C34:N34,1,LatestAudCol)/52,0)</f>
        <v>0</v>
      </c>
      <c r="D25" s="224">
        <f>-IFERROR(INDEX('2_Operating_Statement'!C34:N34,1,LatestAudCol)/52,0)</f>
        <v>0</v>
      </c>
      <c r="E25" s="224">
        <f>-IFERROR(INDEX('2_Operating_Statement'!C34:N34,1,LatestAudCol)/52,0)</f>
        <v>0</v>
      </c>
      <c r="F25" s="224">
        <f>-IFERROR(INDEX('2_Operating_Statement'!C34:N34,1,LatestAudCol)/52,0)</f>
        <v>0</v>
      </c>
      <c r="G25" s="224">
        <f>-IFERROR(INDEX('2_Operating_Statement'!C34:N34,1,LatestAudCol)/52,0)</f>
        <v>0</v>
      </c>
      <c r="H25" s="224">
        <f>-IFERROR(INDEX('2_Operating_Statement'!C34:N34,1,LatestAudCol)/52,0)</f>
        <v>0</v>
      </c>
      <c r="I25" s="224">
        <f>-IFERROR(INDEX('2_Operating_Statement'!C34:N34,1,LatestAudCol)/52,0)</f>
        <v>0</v>
      </c>
      <c r="J25" s="224">
        <f>-IFERROR(INDEX('2_Operating_Statement'!C34:N34,1,LatestAudCol)/52,0)</f>
        <v>0</v>
      </c>
      <c r="K25" s="224">
        <f>-IFERROR(INDEX('2_Operating_Statement'!C34:N34,1,LatestAudCol)/52,0)</f>
        <v>0</v>
      </c>
      <c r="L25" s="224">
        <f>-IFERROR(INDEX('2_Operating_Statement'!C34:N34,1,LatestAudCol)/52,0)</f>
        <v>0</v>
      </c>
      <c r="M25" s="224">
        <f>-IFERROR(INDEX('2_Operating_Statement'!C34:N34,1,LatestAudCol)/52,0)</f>
        <v>0</v>
      </c>
      <c r="N25" s="224">
        <f>-IFERROR(INDEX('2_Operating_Statement'!C34:N34,1,LatestAudCol)/52,0)</f>
        <v>0</v>
      </c>
      <c r="O25" s="224">
        <f>-IFERROR(INDEX('2_Operating_Statement'!C34:N34,1,LatestAudCol)/52,0)</f>
        <v>0</v>
      </c>
      <c r="P25" s="225">
        <f t="shared" si="5"/>
        <v>0</v>
      </c>
    </row>
    <row r="26" spans="1:16" ht="18" customHeight="1" x14ac:dyDescent="0.55000000000000004">
      <c r="A26" s="156" t="s">
        <v>1524</v>
      </c>
      <c r="B26" s="224">
        <f>0</f>
        <v>0</v>
      </c>
      <c r="C26" s="224">
        <f>0</f>
        <v>0</v>
      </c>
      <c r="D26" s="224">
        <f>0</f>
        <v>0</v>
      </c>
      <c r="E26" s="224">
        <f>0</f>
        <v>0</v>
      </c>
      <c r="F26" s="224">
        <f>0</f>
        <v>0</v>
      </c>
      <c r="G26" s="224">
        <f>0</f>
        <v>0</v>
      </c>
      <c r="H26" s="224">
        <f>0</f>
        <v>0</v>
      </c>
      <c r="I26" s="224">
        <f>0</f>
        <v>0</v>
      </c>
      <c r="J26" s="224">
        <f>0</f>
        <v>0</v>
      </c>
      <c r="K26" s="224">
        <f>0</f>
        <v>0</v>
      </c>
      <c r="L26" s="224">
        <f>0</f>
        <v>0</v>
      </c>
      <c r="M26" s="224">
        <f>0</f>
        <v>0</v>
      </c>
      <c r="N26" s="224">
        <f>0</f>
        <v>0</v>
      </c>
      <c r="O26" s="224">
        <f>0</f>
        <v>0</v>
      </c>
      <c r="P26" s="225">
        <f t="shared" si="5"/>
        <v>0</v>
      </c>
    </row>
    <row r="27" spans="1:16" ht="21.75" customHeight="1" x14ac:dyDescent="0.55000000000000004">
      <c r="A27" s="219" t="s">
        <v>1525</v>
      </c>
      <c r="B27" s="226">
        <f t="shared" ref="B27:O27" si="6">SUM(B22,B23,B24,B25,B26)</f>
        <v>0</v>
      </c>
      <c r="C27" s="226">
        <f t="shared" si="6"/>
        <v>0</v>
      </c>
      <c r="D27" s="226">
        <f t="shared" si="6"/>
        <v>0</v>
      </c>
      <c r="E27" s="226">
        <f t="shared" si="6"/>
        <v>0</v>
      </c>
      <c r="F27" s="226">
        <f t="shared" si="6"/>
        <v>0</v>
      </c>
      <c r="G27" s="226">
        <f t="shared" si="6"/>
        <v>0</v>
      </c>
      <c r="H27" s="226">
        <f t="shared" si="6"/>
        <v>0</v>
      </c>
      <c r="I27" s="226">
        <f t="shared" si="6"/>
        <v>0</v>
      </c>
      <c r="J27" s="226">
        <f t="shared" si="6"/>
        <v>0</v>
      </c>
      <c r="K27" s="226">
        <f t="shared" si="6"/>
        <v>0</v>
      </c>
      <c r="L27" s="226">
        <f t="shared" si="6"/>
        <v>0</v>
      </c>
      <c r="M27" s="226">
        <f t="shared" si="6"/>
        <v>0</v>
      </c>
      <c r="N27" s="226">
        <f t="shared" si="6"/>
        <v>0</v>
      </c>
      <c r="O27" s="226">
        <f t="shared" si="6"/>
        <v>0</v>
      </c>
      <c r="P27" s="226">
        <f t="shared" si="5"/>
        <v>0</v>
      </c>
    </row>
    <row r="28" spans="1:16" ht="21.75" customHeight="1" x14ac:dyDescent="0.55000000000000004">
      <c r="A28" s="24" t="s">
        <v>1526</v>
      </c>
      <c r="B28" s="223">
        <f t="shared" ref="B28:O28" si="7">B20+B27</f>
        <v>0</v>
      </c>
      <c r="C28" s="223">
        <f t="shared" si="7"/>
        <v>0</v>
      </c>
      <c r="D28" s="223">
        <f t="shared" si="7"/>
        <v>0</v>
      </c>
      <c r="E28" s="223">
        <f t="shared" si="7"/>
        <v>0</v>
      </c>
      <c r="F28" s="223">
        <f t="shared" si="7"/>
        <v>0</v>
      </c>
      <c r="G28" s="223">
        <f t="shared" si="7"/>
        <v>0</v>
      </c>
      <c r="H28" s="223">
        <f t="shared" si="7"/>
        <v>0</v>
      </c>
      <c r="I28" s="223">
        <f t="shared" si="7"/>
        <v>0</v>
      </c>
      <c r="J28" s="223">
        <f t="shared" si="7"/>
        <v>0</v>
      </c>
      <c r="K28" s="223">
        <f t="shared" si="7"/>
        <v>0</v>
      </c>
      <c r="L28" s="223">
        <f t="shared" si="7"/>
        <v>0</v>
      </c>
      <c r="M28" s="223">
        <f t="shared" si="7"/>
        <v>0</v>
      </c>
      <c r="N28" s="223">
        <f t="shared" si="7"/>
        <v>0</v>
      </c>
      <c r="O28" s="223">
        <f t="shared" si="7"/>
        <v>0</v>
      </c>
      <c r="P28" s="223">
        <f t="shared" si="5"/>
        <v>0</v>
      </c>
    </row>
    <row r="29" spans="1:16" ht="24" customHeight="1" x14ac:dyDescent="0.55000000000000004">
      <c r="A29" s="15" t="s">
        <v>1527</v>
      </c>
      <c r="B29" s="227">
        <f>B6+B28</f>
        <v>0</v>
      </c>
      <c r="C29" s="227">
        <f t="shared" ref="C29:O29" si="8">B29+C28</f>
        <v>0</v>
      </c>
      <c r="D29" s="227">
        <f t="shared" si="8"/>
        <v>0</v>
      </c>
      <c r="E29" s="227">
        <f t="shared" si="8"/>
        <v>0</v>
      </c>
      <c r="F29" s="227">
        <f t="shared" si="8"/>
        <v>0</v>
      </c>
      <c r="G29" s="227">
        <f t="shared" si="8"/>
        <v>0</v>
      </c>
      <c r="H29" s="227">
        <f t="shared" si="8"/>
        <v>0</v>
      </c>
      <c r="I29" s="227">
        <f t="shared" si="8"/>
        <v>0</v>
      </c>
      <c r="J29" s="227">
        <f t="shared" si="8"/>
        <v>0</v>
      </c>
      <c r="K29" s="227">
        <f t="shared" si="8"/>
        <v>0</v>
      </c>
      <c r="L29" s="227">
        <f t="shared" si="8"/>
        <v>0</v>
      </c>
      <c r="M29" s="227">
        <f t="shared" si="8"/>
        <v>0</v>
      </c>
      <c r="N29" s="227">
        <f t="shared" si="8"/>
        <v>0</v>
      </c>
      <c r="O29" s="227">
        <f t="shared" si="8"/>
        <v>0</v>
      </c>
      <c r="P29" s="227">
        <f>O29</f>
        <v>0</v>
      </c>
    </row>
    <row r="30" spans="1:16" ht="21.75" customHeight="1" x14ac:dyDescent="0.55000000000000004">
      <c r="A30" s="228" t="s">
        <v>1528</v>
      </c>
      <c r="B30" s="229">
        <f t="shared" ref="B30:O30" si="9">MAX(0,-B29)</f>
        <v>0</v>
      </c>
      <c r="C30" s="229">
        <f t="shared" si="9"/>
        <v>0</v>
      </c>
      <c r="D30" s="229">
        <f t="shared" si="9"/>
        <v>0</v>
      </c>
      <c r="E30" s="229">
        <f t="shared" si="9"/>
        <v>0</v>
      </c>
      <c r="F30" s="229">
        <f t="shared" si="9"/>
        <v>0</v>
      </c>
      <c r="G30" s="229">
        <f t="shared" si="9"/>
        <v>0</v>
      </c>
      <c r="H30" s="229">
        <f t="shared" si="9"/>
        <v>0</v>
      </c>
      <c r="I30" s="229">
        <f t="shared" si="9"/>
        <v>0</v>
      </c>
      <c r="J30" s="229">
        <f t="shared" si="9"/>
        <v>0</v>
      </c>
      <c r="K30" s="229">
        <f t="shared" si="9"/>
        <v>0</v>
      </c>
      <c r="L30" s="229">
        <f t="shared" si="9"/>
        <v>0</v>
      </c>
      <c r="M30" s="229">
        <f t="shared" si="9"/>
        <v>0</v>
      </c>
      <c r="N30" s="229">
        <f t="shared" si="9"/>
        <v>0</v>
      </c>
      <c r="O30" s="229">
        <f t="shared" si="9"/>
        <v>0</v>
      </c>
      <c r="P30" s="229">
        <f>MAX(C30:O30)</f>
        <v>0</v>
      </c>
    </row>
    <row r="31" spans="1:16" ht="6" customHeight="1" x14ac:dyDescent="0.55000000000000004"/>
    <row r="32" spans="1:16" ht="21.75" customHeight="1" x14ac:dyDescent="0.55000000000000004">
      <c r="A32" s="308" t="s">
        <v>1529</v>
      </c>
      <c r="B32" s="308"/>
      <c r="C32" s="308"/>
      <c r="D32" s="308"/>
      <c r="E32" s="308"/>
      <c r="F32" s="308"/>
      <c r="G32" s="308"/>
      <c r="H32" s="308"/>
      <c r="I32" s="308"/>
      <c r="J32" s="308"/>
      <c r="K32" s="308"/>
      <c r="L32" s="308"/>
      <c r="M32" s="308"/>
      <c r="N32" s="308"/>
      <c r="O32" s="308"/>
      <c r="P32" s="308"/>
    </row>
    <row r="33" spans="1:16" ht="60" customHeight="1" x14ac:dyDescent="0.55000000000000004">
      <c r="A33" s="311" t="str">
        <f>"Min Closing Balance Across W1-W13: ₹"&amp;TEXT(MIN(C29:O29),"#,##0.00")&amp;" Cr  |  Max Required Bank Funding: ₹"&amp;TEXT(MAX(C30:O30),"#,##0.00")&amp;" Cr"&amp;CHAR(10)&amp;IF(MIN(C29:O29)&lt;0,"🔴 ACUTE LIQUIDITY DEFICIT projected. Minimum closing balance is negative — borrower cannot self-sustain 13-week cycle without fresh drawdowns. Existing WC limits may be mathematically insufficient. Reassess MPBF.",IF(MIN(C29:O29)&lt;INDEX('2_Operating_Statement'!C13:N13,1,LatestAudCol)*0.01,"⚠ CASH BUFFER THIN. Minimum closing balance &lt; 1% of annual sales — narrow margin for shocks. Consider DSRA mandate.","✅ LIQUIDITY ADEQUATE. Closing balance remains positive across the 13-week horizon."))</f>
        <v>Min Closing Balance Across W1-W13: ₹0.00 Cr  |  Max Required Bank Funding: ₹0.00 Cr
✅ LIQUIDITY ADEQUATE. Closing balance remains positive across the 13-week horizon.</v>
      </c>
      <c r="B33" s="311"/>
      <c r="C33" s="311"/>
      <c r="D33" s="311"/>
      <c r="E33" s="311"/>
      <c r="F33" s="311"/>
      <c r="G33" s="311"/>
      <c r="H33" s="311"/>
      <c r="I33" s="311"/>
      <c r="J33" s="311"/>
      <c r="K33" s="311"/>
      <c r="L33" s="311"/>
      <c r="M33" s="311"/>
      <c r="N33" s="311"/>
      <c r="O33" s="311"/>
      <c r="P33" s="311"/>
    </row>
  </sheetData>
  <mergeCells count="9">
    <mergeCell ref="A13:P13"/>
    <mergeCell ref="A21:P21"/>
    <mergeCell ref="A32:P32"/>
    <mergeCell ref="A33:P33"/>
    <mergeCell ref="A1:P1"/>
    <mergeCell ref="A2:P2"/>
    <mergeCell ref="A3:P3"/>
    <mergeCell ref="A5:P5"/>
    <mergeCell ref="A7:P7"/>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86"/>
  <sheetViews>
    <sheetView tabSelected="1" zoomScaleNormal="100" workbookViewId="0">
      <selection sqref="A1:P1"/>
    </sheetView>
  </sheetViews>
  <sheetFormatPr defaultColWidth="8.68359375" defaultRowHeight="14.4" x14ac:dyDescent="0.55000000000000004"/>
  <cols>
    <col min="1" max="1" width="5" customWidth="1"/>
    <col min="2" max="2" width="50" customWidth="1"/>
    <col min="3" max="14" width="11" customWidth="1"/>
    <col min="15" max="15" width="14" customWidth="1"/>
    <col min="16" max="16" width="30" customWidth="1"/>
  </cols>
  <sheetData>
    <row r="1" spans="1:16" ht="21.75" customHeight="1" x14ac:dyDescent="0.55000000000000004">
      <c r="A1" s="339" t="str">
        <f>CONCATENATE("OHLSON O-SCORE  |  Probabilistic Default Model  |  ", BorrowerName)</f>
        <v xml:space="preserve">OHLSON O-SCORE  |  Probabilistic Default Model  |  </v>
      </c>
      <c r="B1" s="339"/>
      <c r="C1" s="339"/>
      <c r="D1" s="339"/>
      <c r="E1" s="339"/>
      <c r="F1" s="339"/>
      <c r="G1" s="339"/>
      <c r="H1" s="339"/>
      <c r="I1" s="339"/>
      <c r="J1" s="339"/>
      <c r="K1" s="339"/>
      <c r="L1" s="339"/>
      <c r="M1" s="339"/>
      <c r="N1" s="339"/>
      <c r="O1" s="339"/>
      <c r="P1" s="339"/>
    </row>
    <row r="2" spans="1:16" ht="15" customHeight="1" x14ac:dyDescent="0.55000000000000004">
      <c r="A2" s="327" t="s">
        <v>1530</v>
      </c>
      <c r="B2" s="327"/>
      <c r="C2" s="327"/>
      <c r="D2" s="327"/>
      <c r="E2" s="327"/>
      <c r="F2" s="327"/>
      <c r="G2" s="327"/>
      <c r="H2" s="327"/>
      <c r="I2" s="327"/>
      <c r="J2" s="327"/>
      <c r="K2" s="327"/>
      <c r="L2" s="327"/>
      <c r="M2" s="327"/>
      <c r="N2" s="327"/>
      <c r="O2" s="327"/>
      <c r="P2" s="327"/>
    </row>
    <row r="3" spans="1:16" ht="15" customHeight="1" x14ac:dyDescent="0.55000000000000004">
      <c r="A3" s="230" t="s">
        <v>251</v>
      </c>
      <c r="B3" s="230" t="s">
        <v>252</v>
      </c>
      <c r="C3" s="230" t="s">
        <v>253</v>
      </c>
      <c r="D3" s="230" t="s">
        <v>254</v>
      </c>
      <c r="E3" s="230" t="s">
        <v>255</v>
      </c>
      <c r="F3" s="230" t="s">
        <v>256</v>
      </c>
      <c r="G3" s="230" t="s">
        <v>257</v>
      </c>
      <c r="H3" s="230" t="s">
        <v>258</v>
      </c>
      <c r="I3" s="230" t="s">
        <v>259</v>
      </c>
      <c r="J3" s="230" t="s">
        <v>260</v>
      </c>
      <c r="K3" s="230" t="s">
        <v>261</v>
      </c>
      <c r="L3" s="230" t="s">
        <v>262</v>
      </c>
      <c r="M3" s="230" t="s">
        <v>263</v>
      </c>
      <c r="N3" s="230" t="s">
        <v>264</v>
      </c>
      <c r="O3" s="230" t="s">
        <v>4</v>
      </c>
      <c r="P3" s="230" t="s">
        <v>137</v>
      </c>
    </row>
    <row r="4" spans="1:16" ht="15" customHeight="1" x14ac:dyDescent="0.55000000000000004">
      <c r="B4" s="231" t="s">
        <v>267</v>
      </c>
      <c r="C4" s="232" t="str">
        <f>INDEX('0_Setup'!$B$48:$B$59,1)</f>
        <v>2022-23</v>
      </c>
      <c r="D4" s="232" t="str">
        <f>INDEX('0_Setup'!$B$48:$B$59,2)</f>
        <v>2023-24</v>
      </c>
      <c r="E4" s="232" t="str">
        <f>INDEX('0_Setup'!$B$48:$B$59,3)</f>
        <v>2024-25</v>
      </c>
      <c r="F4" s="232" t="str">
        <f>INDEX('0_Setup'!$B$48:$B$59,4)</f>
        <v>2024-25</v>
      </c>
      <c r="G4" s="232" t="str">
        <f>INDEX('0_Setup'!$B$48:$B$59,5)</f>
        <v>2025-26</v>
      </c>
      <c r="H4" s="232" t="str">
        <f>INDEX('0_Setup'!$B$48:$B$59,6)</f>
        <v>2026-27</v>
      </c>
      <c r="I4" s="232" t="str">
        <f>INDEX('0_Setup'!$B$48:$B$59,7)</f>
        <v>2027-28</v>
      </c>
      <c r="J4" s="232" t="str">
        <f>INDEX('0_Setup'!$B$48:$B$59,8)</f>
        <v>2028-29</v>
      </c>
      <c r="K4" s="232" t="str">
        <f>INDEX('0_Setup'!$B$48:$B$59,9)</f>
        <v>2029-30</v>
      </c>
      <c r="L4" s="232" t="str">
        <f>INDEX('0_Setup'!$B$48:$B$59,10)</f>
        <v/>
      </c>
      <c r="M4" s="232" t="str">
        <f>INDEX('0_Setup'!$B$48:$B$59,11)</f>
        <v/>
      </c>
      <c r="N4" s="232" t="str">
        <f>INDEX('0_Setup'!$B$48:$B$59,12)</f>
        <v/>
      </c>
    </row>
    <row r="5" spans="1:16" ht="15" customHeight="1" x14ac:dyDescent="0.55000000000000004">
      <c r="B5" s="231" t="s">
        <v>268</v>
      </c>
      <c r="C5" s="232" t="str">
        <f>INDEX('0_Setup'!$C$48:$C$59,1)</f>
        <v>Audited</v>
      </c>
      <c r="D5" s="232" t="str">
        <f>INDEX('0_Setup'!$C$48:$C$59,2)</f>
        <v>Audited</v>
      </c>
      <c r="E5" s="232" t="str">
        <f>INDEX('0_Setup'!$C$48:$C$59,3)</f>
        <v>Estimated</v>
      </c>
      <c r="F5" s="232" t="str">
        <f>INDEX('0_Setup'!$C$48:$C$59,4)</f>
        <v>Audited/Provisional</v>
      </c>
      <c r="G5" s="232" t="str">
        <f>INDEX('0_Setup'!$C$48:$C$59,5)</f>
        <v>Estimated</v>
      </c>
      <c r="H5" s="232" t="str">
        <f>INDEX('0_Setup'!$C$48:$C$59,6)</f>
        <v>Projected</v>
      </c>
      <c r="I5" s="232" t="str">
        <f>INDEX('0_Setup'!$C$48:$C$59,7)</f>
        <v>Projected</v>
      </c>
      <c r="J5" s="232" t="str">
        <f>INDEX('0_Setup'!$C$48:$C$59,8)</f>
        <v>Projected</v>
      </c>
      <c r="K5" s="232" t="str">
        <f>INDEX('0_Setup'!$C$48:$C$59,9)</f>
        <v>Projected</v>
      </c>
      <c r="L5" s="232" t="str">
        <f>INDEX('0_Setup'!$C$48:$C$59,10)</f>
        <v/>
      </c>
      <c r="M5" s="232" t="str">
        <f>INDEX('0_Setup'!$C$48:$C$59,11)</f>
        <v/>
      </c>
      <c r="N5" s="232" t="str">
        <f>INDEX('0_Setup'!$C$48:$C$59,12)</f>
        <v/>
      </c>
    </row>
    <row r="6" spans="1:16" ht="15" customHeight="1" x14ac:dyDescent="0.55000000000000004">
      <c r="A6" s="324" t="s">
        <v>1531</v>
      </c>
      <c r="B6" s="324"/>
      <c r="C6" s="324"/>
      <c r="D6" s="324"/>
      <c r="E6" s="324"/>
      <c r="F6" s="324"/>
      <c r="G6" s="324"/>
      <c r="H6" s="324"/>
      <c r="I6" s="324"/>
      <c r="J6" s="324"/>
      <c r="K6" s="324"/>
      <c r="L6" s="324"/>
      <c r="M6" s="324"/>
      <c r="N6" s="324"/>
      <c r="O6" s="324"/>
      <c r="P6" s="324"/>
    </row>
    <row r="7" spans="1:16" ht="15" customHeight="1" x14ac:dyDescent="0.55000000000000004">
      <c r="A7" s="50" t="s">
        <v>1532</v>
      </c>
      <c r="B7" t="s">
        <v>1533</v>
      </c>
      <c r="C7" s="233">
        <f>'3_Balance_Sheet'!C108</f>
        <v>0</v>
      </c>
      <c r="D7" s="233">
        <f>'3_Balance_Sheet'!D108</f>
        <v>0</v>
      </c>
      <c r="E7" s="233">
        <f>'3_Balance_Sheet'!E108</f>
        <v>0</v>
      </c>
      <c r="F7" s="233">
        <f>'3_Balance_Sheet'!F108</f>
        <v>0</v>
      </c>
      <c r="G7" s="233">
        <f>'3_Balance_Sheet'!G108</f>
        <v>0</v>
      </c>
      <c r="H7" s="233">
        <f>'3_Balance_Sheet'!H108</f>
        <v>0</v>
      </c>
      <c r="I7" s="233">
        <f>'3_Balance_Sheet'!I108</f>
        <v>0</v>
      </c>
      <c r="J7" s="233">
        <f>'3_Balance_Sheet'!J108</f>
        <v>0</v>
      </c>
      <c r="K7" s="233">
        <f>'3_Balance_Sheet'!K108</f>
        <v>0</v>
      </c>
      <c r="L7" s="233">
        <f>'3_Balance_Sheet'!L108</f>
        <v>0</v>
      </c>
      <c r="M7" s="233">
        <f>'3_Balance_Sheet'!M108</f>
        <v>0</v>
      </c>
      <c r="N7" s="233">
        <f>'3_Balance_Sheet'!N108</f>
        <v>0</v>
      </c>
      <c r="O7" s="234">
        <f t="shared" ref="O7:O13" si="0">IFERROR(INDEX(C7:N7,1,LatestAudCol),0)</f>
        <v>0</v>
      </c>
      <c r="P7" s="173" t="s">
        <v>1534</v>
      </c>
    </row>
    <row r="8" spans="1:16" ht="15" customHeight="1" x14ac:dyDescent="0.55000000000000004">
      <c r="A8" s="50" t="s">
        <v>1535</v>
      </c>
      <c r="B8" t="s">
        <v>1536</v>
      </c>
      <c r="C8" s="233">
        <f>'3_Balance_Sheet'!C40</f>
        <v>0</v>
      </c>
      <c r="D8" s="233">
        <f>'3_Balance_Sheet'!D40</f>
        <v>0</v>
      </c>
      <c r="E8" s="233">
        <f>'3_Balance_Sheet'!E40</f>
        <v>0</v>
      </c>
      <c r="F8" s="233">
        <f>'3_Balance_Sheet'!F40</f>
        <v>0</v>
      </c>
      <c r="G8" s="233">
        <f>'3_Balance_Sheet'!G40</f>
        <v>0</v>
      </c>
      <c r="H8" s="233">
        <f>'3_Balance_Sheet'!H40</f>
        <v>0</v>
      </c>
      <c r="I8" s="233">
        <f>'3_Balance_Sheet'!I40</f>
        <v>0</v>
      </c>
      <c r="J8" s="233">
        <f>'3_Balance_Sheet'!J40</f>
        <v>0</v>
      </c>
      <c r="K8" s="233">
        <f>'3_Balance_Sheet'!K40</f>
        <v>0</v>
      </c>
      <c r="L8" s="233">
        <f>'3_Balance_Sheet'!L40</f>
        <v>0</v>
      </c>
      <c r="M8" s="233">
        <f>'3_Balance_Sheet'!M40</f>
        <v>0</v>
      </c>
      <c r="N8" s="233">
        <f>'3_Balance_Sheet'!N40</f>
        <v>0</v>
      </c>
      <c r="O8" s="234">
        <f t="shared" si="0"/>
        <v>0</v>
      </c>
      <c r="P8" s="173" t="s">
        <v>1537</v>
      </c>
    </row>
    <row r="9" spans="1:16" ht="15" customHeight="1" x14ac:dyDescent="0.55000000000000004">
      <c r="A9" s="50" t="s">
        <v>1538</v>
      </c>
      <c r="B9" t="s">
        <v>1539</v>
      </c>
      <c r="C9" s="233">
        <f>'3_Balance_Sheet'!C82</f>
        <v>0</v>
      </c>
      <c r="D9" s="233">
        <f>'3_Balance_Sheet'!D82</f>
        <v>0</v>
      </c>
      <c r="E9" s="233">
        <f>'3_Balance_Sheet'!E82</f>
        <v>0</v>
      </c>
      <c r="F9" s="233">
        <f>'3_Balance_Sheet'!F82</f>
        <v>0</v>
      </c>
      <c r="G9" s="233">
        <f>'3_Balance_Sheet'!G82</f>
        <v>0</v>
      </c>
      <c r="H9" s="233">
        <f>'3_Balance_Sheet'!H82</f>
        <v>0</v>
      </c>
      <c r="I9" s="233">
        <f>'3_Balance_Sheet'!I82</f>
        <v>0</v>
      </c>
      <c r="J9" s="233">
        <f>'3_Balance_Sheet'!J82</f>
        <v>0</v>
      </c>
      <c r="K9" s="233">
        <f>'3_Balance_Sheet'!K82</f>
        <v>0</v>
      </c>
      <c r="L9" s="233">
        <f>'3_Balance_Sheet'!L82</f>
        <v>0</v>
      </c>
      <c r="M9" s="233">
        <f>'3_Balance_Sheet'!M82</f>
        <v>0</v>
      </c>
      <c r="N9" s="233">
        <f>'3_Balance_Sheet'!N82</f>
        <v>0</v>
      </c>
      <c r="O9" s="234">
        <f t="shared" si="0"/>
        <v>0</v>
      </c>
      <c r="P9" s="173" t="s">
        <v>1540</v>
      </c>
    </row>
    <row r="10" spans="1:16" ht="15" customHeight="1" x14ac:dyDescent="0.55000000000000004">
      <c r="A10" s="50" t="s">
        <v>1541</v>
      </c>
      <c r="B10" t="s">
        <v>1542</v>
      </c>
      <c r="C10" s="233">
        <f>'3_Balance_Sheet'!C27</f>
        <v>0</v>
      </c>
      <c r="D10" s="233">
        <f>'3_Balance_Sheet'!D27</f>
        <v>0</v>
      </c>
      <c r="E10" s="233">
        <f>'3_Balance_Sheet'!E27</f>
        <v>0</v>
      </c>
      <c r="F10" s="233">
        <f>'3_Balance_Sheet'!F27</f>
        <v>0</v>
      </c>
      <c r="G10" s="233">
        <f>'3_Balance_Sheet'!G27</f>
        <v>0</v>
      </c>
      <c r="H10" s="233">
        <f>'3_Balance_Sheet'!H27</f>
        <v>0</v>
      </c>
      <c r="I10" s="233">
        <f>'3_Balance_Sheet'!I27</f>
        <v>0</v>
      </c>
      <c r="J10" s="233">
        <f>'3_Balance_Sheet'!J27</f>
        <v>0</v>
      </c>
      <c r="K10" s="233">
        <f>'3_Balance_Sheet'!K27</f>
        <v>0</v>
      </c>
      <c r="L10" s="233">
        <f>'3_Balance_Sheet'!L27</f>
        <v>0</v>
      </c>
      <c r="M10" s="233">
        <f>'3_Balance_Sheet'!M27</f>
        <v>0</v>
      </c>
      <c r="N10" s="233">
        <f>'3_Balance_Sheet'!N27</f>
        <v>0</v>
      </c>
      <c r="O10" s="234">
        <f t="shared" si="0"/>
        <v>0</v>
      </c>
      <c r="P10" s="173" t="s">
        <v>1543</v>
      </c>
    </row>
    <row r="11" spans="1:16" ht="15" customHeight="1" x14ac:dyDescent="0.55000000000000004">
      <c r="A11" s="50" t="s">
        <v>1544</v>
      </c>
      <c r="B11" t="s">
        <v>1545</v>
      </c>
      <c r="C11" s="234">
        <f t="shared" ref="C11:N11" si="1">C9-C10</f>
        <v>0</v>
      </c>
      <c r="D11" s="234">
        <f t="shared" si="1"/>
        <v>0</v>
      </c>
      <c r="E11" s="234">
        <f t="shared" si="1"/>
        <v>0</v>
      </c>
      <c r="F11" s="234">
        <f t="shared" si="1"/>
        <v>0</v>
      </c>
      <c r="G11" s="234">
        <f t="shared" si="1"/>
        <v>0</v>
      </c>
      <c r="H11" s="234">
        <f t="shared" si="1"/>
        <v>0</v>
      </c>
      <c r="I11" s="234">
        <f t="shared" si="1"/>
        <v>0</v>
      </c>
      <c r="J11" s="234">
        <f t="shared" si="1"/>
        <v>0</v>
      </c>
      <c r="K11" s="234">
        <f t="shared" si="1"/>
        <v>0</v>
      </c>
      <c r="L11" s="234">
        <f t="shared" si="1"/>
        <v>0</v>
      </c>
      <c r="M11" s="234">
        <f t="shared" si="1"/>
        <v>0</v>
      </c>
      <c r="N11" s="234">
        <f t="shared" si="1"/>
        <v>0</v>
      </c>
      <c r="O11" s="234">
        <f t="shared" si="0"/>
        <v>0</v>
      </c>
      <c r="P11" s="173" t="s">
        <v>1546</v>
      </c>
    </row>
    <row r="12" spans="1:16" ht="15" customHeight="1" x14ac:dyDescent="0.55000000000000004">
      <c r="A12" s="50" t="s">
        <v>1547</v>
      </c>
      <c r="B12" t="s">
        <v>1548</v>
      </c>
      <c r="C12" s="233">
        <f>'2_Operating_Statement'!C58</f>
        <v>0</v>
      </c>
      <c r="D12" s="233">
        <f>'2_Operating_Statement'!D58</f>
        <v>0</v>
      </c>
      <c r="E12" s="233">
        <f>'2_Operating_Statement'!E58</f>
        <v>0</v>
      </c>
      <c r="F12" s="233">
        <f>'2_Operating_Statement'!F58</f>
        <v>0</v>
      </c>
      <c r="G12" s="233">
        <f>'2_Operating_Statement'!G58</f>
        <v>0</v>
      </c>
      <c r="H12" s="233">
        <f>'2_Operating_Statement'!H58</f>
        <v>0</v>
      </c>
      <c r="I12" s="233">
        <f>'2_Operating_Statement'!I58</f>
        <v>0</v>
      </c>
      <c r="J12" s="233">
        <f>'2_Operating_Statement'!J58</f>
        <v>0</v>
      </c>
      <c r="K12" s="233">
        <f>'2_Operating_Statement'!K58</f>
        <v>0</v>
      </c>
      <c r="L12" s="233">
        <f>'2_Operating_Statement'!L58</f>
        <v>0</v>
      </c>
      <c r="M12" s="233">
        <f>'2_Operating_Statement'!M58</f>
        <v>0</v>
      </c>
      <c r="N12" s="233">
        <f>'2_Operating_Statement'!N58</f>
        <v>0</v>
      </c>
      <c r="O12" s="234">
        <f t="shared" si="0"/>
        <v>0</v>
      </c>
      <c r="P12" s="173" t="s">
        <v>1549</v>
      </c>
    </row>
    <row r="13" spans="1:16" ht="15" customHeight="1" x14ac:dyDescent="0.55000000000000004">
      <c r="A13" s="50" t="s">
        <v>1550</v>
      </c>
      <c r="B13" t="s">
        <v>1551</v>
      </c>
      <c r="C13" s="233">
        <f>'4_DSCR'!C7</f>
        <v>0</v>
      </c>
      <c r="D13" s="233">
        <f>'4_DSCR'!D7</f>
        <v>0</v>
      </c>
      <c r="E13" s="233">
        <f>'4_DSCR'!E7</f>
        <v>0</v>
      </c>
      <c r="F13" s="233">
        <f>'4_DSCR'!F7</f>
        <v>0</v>
      </c>
      <c r="G13" s="233">
        <f>'4_DSCR'!G7</f>
        <v>0</v>
      </c>
      <c r="H13" s="233">
        <f>'4_DSCR'!H7</f>
        <v>0</v>
      </c>
      <c r="I13" s="233">
        <f>'4_DSCR'!I7</f>
        <v>0</v>
      </c>
      <c r="J13" s="233">
        <f>'4_DSCR'!J7</f>
        <v>0</v>
      </c>
      <c r="K13" s="233">
        <f>'4_DSCR'!K7</f>
        <v>0</v>
      </c>
      <c r="L13" s="233">
        <f>'4_DSCR'!L7</f>
        <v>0</v>
      </c>
      <c r="M13" s="233">
        <f>'4_DSCR'!M7</f>
        <v>0</v>
      </c>
      <c r="N13" s="233">
        <f>'4_DSCR'!N7</f>
        <v>0</v>
      </c>
      <c r="O13" s="234">
        <f t="shared" si="0"/>
        <v>0</v>
      </c>
      <c r="P13" s="173" t="s">
        <v>1552</v>
      </c>
    </row>
    <row r="15" spans="1:16" ht="15" customHeight="1" x14ac:dyDescent="0.55000000000000004">
      <c r="A15" s="324" t="s">
        <v>1553</v>
      </c>
      <c r="B15" s="324"/>
      <c r="C15" s="324"/>
      <c r="D15" s="324"/>
      <c r="E15" s="324"/>
      <c r="F15" s="324"/>
      <c r="G15" s="324"/>
      <c r="H15" s="324"/>
      <c r="I15" s="324"/>
      <c r="J15" s="324"/>
      <c r="K15" s="324"/>
      <c r="L15" s="324"/>
      <c r="M15" s="324"/>
      <c r="N15" s="324"/>
      <c r="O15" s="324"/>
      <c r="P15" s="324"/>
    </row>
    <row r="16" spans="1:16" ht="15" customHeight="1" x14ac:dyDescent="0.55000000000000004">
      <c r="A16" s="50" t="s">
        <v>1554</v>
      </c>
      <c r="B16" t="s">
        <v>1555</v>
      </c>
      <c r="C16" s="235">
        <f t="shared" ref="C16:N16" si="2">IFERROR(C8/C7,0)</f>
        <v>0</v>
      </c>
      <c r="D16" s="235">
        <f t="shared" si="2"/>
        <v>0</v>
      </c>
      <c r="E16" s="235">
        <f t="shared" si="2"/>
        <v>0</v>
      </c>
      <c r="F16" s="235">
        <f t="shared" si="2"/>
        <v>0</v>
      </c>
      <c r="G16" s="235">
        <f t="shared" si="2"/>
        <v>0</v>
      </c>
      <c r="H16" s="235">
        <f t="shared" si="2"/>
        <v>0</v>
      </c>
      <c r="I16" s="235">
        <f t="shared" si="2"/>
        <v>0</v>
      </c>
      <c r="J16" s="235">
        <f t="shared" si="2"/>
        <v>0</v>
      </c>
      <c r="K16" s="235">
        <f t="shared" si="2"/>
        <v>0</v>
      </c>
      <c r="L16" s="235">
        <f t="shared" si="2"/>
        <v>0</v>
      </c>
      <c r="M16" s="235">
        <f t="shared" si="2"/>
        <v>0</v>
      </c>
      <c r="N16" s="235">
        <f t="shared" si="2"/>
        <v>0</v>
      </c>
      <c r="O16" s="235">
        <f t="shared" ref="O16:O22" si="3">IFERROR(INDEX(C16:N16,1,LatestAudCol),0)</f>
        <v>0</v>
      </c>
      <c r="P16" s="173" t="s">
        <v>1556</v>
      </c>
    </row>
    <row r="17" spans="1:16" ht="15" customHeight="1" x14ac:dyDescent="0.55000000000000004">
      <c r="A17" s="50" t="s">
        <v>1557</v>
      </c>
      <c r="B17" t="s">
        <v>1558</v>
      </c>
      <c r="C17" s="235">
        <f t="shared" ref="C17:N17" si="4">IFERROR(C11/C7,0)</f>
        <v>0</v>
      </c>
      <c r="D17" s="235">
        <f t="shared" si="4"/>
        <v>0</v>
      </c>
      <c r="E17" s="235">
        <f t="shared" si="4"/>
        <v>0</v>
      </c>
      <c r="F17" s="235">
        <f t="shared" si="4"/>
        <v>0</v>
      </c>
      <c r="G17" s="235">
        <f t="shared" si="4"/>
        <v>0</v>
      </c>
      <c r="H17" s="235">
        <f t="shared" si="4"/>
        <v>0</v>
      </c>
      <c r="I17" s="235">
        <f t="shared" si="4"/>
        <v>0</v>
      </c>
      <c r="J17" s="235">
        <f t="shared" si="4"/>
        <v>0</v>
      </c>
      <c r="K17" s="235">
        <f t="shared" si="4"/>
        <v>0</v>
      </c>
      <c r="L17" s="235">
        <f t="shared" si="4"/>
        <v>0</v>
      </c>
      <c r="M17" s="235">
        <f t="shared" si="4"/>
        <v>0</v>
      </c>
      <c r="N17" s="235">
        <f t="shared" si="4"/>
        <v>0</v>
      </c>
      <c r="O17" s="235">
        <f t="shared" si="3"/>
        <v>0</v>
      </c>
      <c r="P17" s="173" t="s">
        <v>1559</v>
      </c>
    </row>
    <row r="18" spans="1:16" ht="15" customHeight="1" x14ac:dyDescent="0.55000000000000004">
      <c r="A18" s="50" t="s">
        <v>1560</v>
      </c>
      <c r="B18" t="s">
        <v>1561</v>
      </c>
      <c r="C18" s="235">
        <f t="shared" ref="C18:N18" si="5">IFERROR(C10/C9,0)</f>
        <v>0</v>
      </c>
      <c r="D18" s="235">
        <f t="shared" si="5"/>
        <v>0</v>
      </c>
      <c r="E18" s="235">
        <f t="shared" si="5"/>
        <v>0</v>
      </c>
      <c r="F18" s="235">
        <f t="shared" si="5"/>
        <v>0</v>
      </c>
      <c r="G18" s="235">
        <f t="shared" si="5"/>
        <v>0</v>
      </c>
      <c r="H18" s="235">
        <f t="shared" si="5"/>
        <v>0</v>
      </c>
      <c r="I18" s="235">
        <f t="shared" si="5"/>
        <v>0</v>
      </c>
      <c r="J18" s="235">
        <f t="shared" si="5"/>
        <v>0</v>
      </c>
      <c r="K18" s="235">
        <f t="shared" si="5"/>
        <v>0</v>
      </c>
      <c r="L18" s="235">
        <f t="shared" si="5"/>
        <v>0</v>
      </c>
      <c r="M18" s="235">
        <f t="shared" si="5"/>
        <v>0</v>
      </c>
      <c r="N18" s="235">
        <f t="shared" si="5"/>
        <v>0</v>
      </c>
      <c r="O18" s="235">
        <f t="shared" si="3"/>
        <v>0</v>
      </c>
      <c r="P18" s="173" t="s">
        <v>1556</v>
      </c>
    </row>
    <row r="19" spans="1:16" ht="15" customHeight="1" x14ac:dyDescent="0.55000000000000004">
      <c r="A19" s="50" t="s">
        <v>1562</v>
      </c>
      <c r="B19" t="s">
        <v>1563</v>
      </c>
      <c r="C19" s="235">
        <f t="shared" ref="C19:N19" si="6">IFERROR(C12/C7,0)</f>
        <v>0</v>
      </c>
      <c r="D19" s="235">
        <f t="shared" si="6"/>
        <v>0</v>
      </c>
      <c r="E19" s="235">
        <f t="shared" si="6"/>
        <v>0</v>
      </c>
      <c r="F19" s="235">
        <f t="shared" si="6"/>
        <v>0</v>
      </c>
      <c r="G19" s="235">
        <f t="shared" si="6"/>
        <v>0</v>
      </c>
      <c r="H19" s="235">
        <f t="shared" si="6"/>
        <v>0</v>
      </c>
      <c r="I19" s="235">
        <f t="shared" si="6"/>
        <v>0</v>
      </c>
      <c r="J19" s="235">
        <f t="shared" si="6"/>
        <v>0</v>
      </c>
      <c r="K19" s="235">
        <f t="shared" si="6"/>
        <v>0</v>
      </c>
      <c r="L19" s="235">
        <f t="shared" si="6"/>
        <v>0</v>
      </c>
      <c r="M19" s="235">
        <f t="shared" si="6"/>
        <v>0</v>
      </c>
      <c r="N19" s="235">
        <f t="shared" si="6"/>
        <v>0</v>
      </c>
      <c r="O19" s="235">
        <f t="shared" si="3"/>
        <v>0</v>
      </c>
      <c r="P19" s="173" t="s">
        <v>1559</v>
      </c>
    </row>
    <row r="20" spans="1:16" ht="15" customHeight="1" x14ac:dyDescent="0.55000000000000004">
      <c r="A20" s="50" t="s">
        <v>1564</v>
      </c>
      <c r="B20" t="s">
        <v>1565</v>
      </c>
      <c r="C20" s="235">
        <f t="shared" ref="C20:N20" si="7">IFERROR(C13/C8,0)</f>
        <v>0</v>
      </c>
      <c r="D20" s="235">
        <f t="shared" si="7"/>
        <v>0</v>
      </c>
      <c r="E20" s="235">
        <f t="shared" si="7"/>
        <v>0</v>
      </c>
      <c r="F20" s="235">
        <f t="shared" si="7"/>
        <v>0</v>
      </c>
      <c r="G20" s="235">
        <f t="shared" si="7"/>
        <v>0</v>
      </c>
      <c r="H20" s="235">
        <f t="shared" si="7"/>
        <v>0</v>
      </c>
      <c r="I20" s="235">
        <f t="shared" si="7"/>
        <v>0</v>
      </c>
      <c r="J20" s="235">
        <f t="shared" si="7"/>
        <v>0</v>
      </c>
      <c r="K20" s="235">
        <f t="shared" si="7"/>
        <v>0</v>
      </c>
      <c r="L20" s="235">
        <f t="shared" si="7"/>
        <v>0</v>
      </c>
      <c r="M20" s="235">
        <f t="shared" si="7"/>
        <v>0</v>
      </c>
      <c r="N20" s="235">
        <f t="shared" si="7"/>
        <v>0</v>
      </c>
      <c r="O20" s="235">
        <f t="shared" si="3"/>
        <v>0</v>
      </c>
      <c r="P20" s="173" t="s">
        <v>1559</v>
      </c>
    </row>
    <row r="21" spans="1:16" ht="15" customHeight="1" x14ac:dyDescent="0.55000000000000004">
      <c r="A21" s="50" t="s">
        <v>1566</v>
      </c>
      <c r="B21" t="s">
        <v>1567</v>
      </c>
      <c r="C21" s="235">
        <f t="shared" ref="C21:N21" si="8">IFERROR(IF(C7&gt;0,LN(C7/$C$50),0),0)</f>
        <v>0</v>
      </c>
      <c r="D21" s="235">
        <f t="shared" si="8"/>
        <v>0</v>
      </c>
      <c r="E21" s="235">
        <f t="shared" si="8"/>
        <v>0</v>
      </c>
      <c r="F21" s="235">
        <f t="shared" si="8"/>
        <v>0</v>
      </c>
      <c r="G21" s="235">
        <f t="shared" si="8"/>
        <v>0</v>
      </c>
      <c r="H21" s="235">
        <f t="shared" si="8"/>
        <v>0</v>
      </c>
      <c r="I21" s="235">
        <f t="shared" si="8"/>
        <v>0</v>
      </c>
      <c r="J21" s="235">
        <f t="shared" si="8"/>
        <v>0</v>
      </c>
      <c r="K21" s="235">
        <f t="shared" si="8"/>
        <v>0</v>
      </c>
      <c r="L21" s="235">
        <f t="shared" si="8"/>
        <v>0</v>
      </c>
      <c r="M21" s="235">
        <f t="shared" si="8"/>
        <v>0</v>
      </c>
      <c r="N21" s="235">
        <f t="shared" si="8"/>
        <v>0</v>
      </c>
      <c r="O21" s="235">
        <f t="shared" si="3"/>
        <v>0</v>
      </c>
      <c r="P21" s="173" t="s">
        <v>1568</v>
      </c>
    </row>
    <row r="22" spans="1:16" ht="15" customHeight="1" x14ac:dyDescent="0.55000000000000004">
      <c r="A22" s="50" t="s">
        <v>1569</v>
      </c>
      <c r="B22" t="s">
        <v>1570</v>
      </c>
      <c r="C22" s="235">
        <v>0</v>
      </c>
      <c r="D22" s="235">
        <f t="shared" ref="D22:N22" si="9">IFERROR(IF((ABS(D12)+ABS(C12))=0,0,(D12-C12)/(ABS(D12)+ABS(C12))),0)</f>
        <v>0</v>
      </c>
      <c r="E22" s="235">
        <f t="shared" si="9"/>
        <v>0</v>
      </c>
      <c r="F22" s="235">
        <f t="shared" si="9"/>
        <v>0</v>
      </c>
      <c r="G22" s="235">
        <f t="shared" si="9"/>
        <v>0</v>
      </c>
      <c r="H22" s="235">
        <f t="shared" si="9"/>
        <v>0</v>
      </c>
      <c r="I22" s="235">
        <f t="shared" si="9"/>
        <v>0</v>
      </c>
      <c r="J22" s="235">
        <f t="shared" si="9"/>
        <v>0</v>
      </c>
      <c r="K22" s="235">
        <f t="shared" si="9"/>
        <v>0</v>
      </c>
      <c r="L22" s="235">
        <f t="shared" si="9"/>
        <v>0</v>
      </c>
      <c r="M22" s="235">
        <f t="shared" si="9"/>
        <v>0</v>
      </c>
      <c r="N22" s="235">
        <f t="shared" si="9"/>
        <v>0</v>
      </c>
      <c r="O22" s="235">
        <f t="shared" si="3"/>
        <v>0</v>
      </c>
      <c r="P22" s="173" t="s">
        <v>1571</v>
      </c>
    </row>
    <row r="24" spans="1:16" ht="15" customHeight="1" x14ac:dyDescent="0.55000000000000004">
      <c r="A24" s="324" t="s">
        <v>1572</v>
      </c>
      <c r="B24" s="324"/>
      <c r="C24" s="324"/>
      <c r="D24" s="324"/>
      <c r="E24" s="324"/>
      <c r="F24" s="324"/>
      <c r="G24" s="324"/>
      <c r="H24" s="324"/>
      <c r="I24" s="324"/>
      <c r="J24" s="324"/>
      <c r="K24" s="324"/>
      <c r="L24" s="324"/>
      <c r="M24" s="324"/>
      <c r="N24" s="324"/>
      <c r="O24" s="324"/>
      <c r="P24" s="324"/>
    </row>
    <row r="25" spans="1:16" ht="15" customHeight="1" x14ac:dyDescent="0.55000000000000004">
      <c r="A25" s="50" t="s">
        <v>1573</v>
      </c>
      <c r="B25" t="s">
        <v>1574</v>
      </c>
      <c r="C25" s="34">
        <f t="shared" ref="C25:N25" si="10">IF(C8&gt;C7,1,0)</f>
        <v>0</v>
      </c>
      <c r="D25" s="34">
        <f t="shared" si="10"/>
        <v>0</v>
      </c>
      <c r="E25" s="34">
        <f t="shared" si="10"/>
        <v>0</v>
      </c>
      <c r="F25" s="34">
        <f t="shared" si="10"/>
        <v>0</v>
      </c>
      <c r="G25" s="34">
        <f t="shared" si="10"/>
        <v>0</v>
      </c>
      <c r="H25" s="34">
        <f t="shared" si="10"/>
        <v>0</v>
      </c>
      <c r="I25" s="34">
        <f t="shared" si="10"/>
        <v>0</v>
      </c>
      <c r="J25" s="34">
        <f t="shared" si="10"/>
        <v>0</v>
      </c>
      <c r="K25" s="34">
        <f t="shared" si="10"/>
        <v>0</v>
      </c>
      <c r="L25" s="34">
        <f t="shared" si="10"/>
        <v>0</v>
      </c>
      <c r="M25" s="34">
        <f t="shared" si="10"/>
        <v>0</v>
      </c>
      <c r="N25" s="34">
        <f t="shared" si="10"/>
        <v>0</v>
      </c>
      <c r="O25" s="34">
        <f>IFERROR(INDEX(C25:N25,1,LatestAudCol),0)</f>
        <v>0</v>
      </c>
      <c r="P25" s="173" t="s">
        <v>1575</v>
      </c>
    </row>
    <row r="26" spans="1:16" ht="15" customHeight="1" x14ac:dyDescent="0.55000000000000004">
      <c r="A26" s="50" t="s">
        <v>1576</v>
      </c>
      <c r="B26" t="s">
        <v>1577</v>
      </c>
      <c r="C26" s="34">
        <v>0</v>
      </c>
      <c r="D26" s="34">
        <f t="shared" ref="D26:N26" si="11">IF(AND(D12&lt;0,C12&lt;0),1,0)</f>
        <v>0</v>
      </c>
      <c r="E26" s="34">
        <f t="shared" si="11"/>
        <v>0</v>
      </c>
      <c r="F26" s="34">
        <f t="shared" si="11"/>
        <v>0</v>
      </c>
      <c r="G26" s="34">
        <f t="shared" si="11"/>
        <v>0</v>
      </c>
      <c r="H26" s="34">
        <f t="shared" si="11"/>
        <v>0</v>
      </c>
      <c r="I26" s="34">
        <f t="shared" si="11"/>
        <v>0</v>
      </c>
      <c r="J26" s="34">
        <f t="shared" si="11"/>
        <v>0</v>
      </c>
      <c r="K26" s="34">
        <f t="shared" si="11"/>
        <v>0</v>
      </c>
      <c r="L26" s="34">
        <f t="shared" si="11"/>
        <v>0</v>
      </c>
      <c r="M26" s="34">
        <f t="shared" si="11"/>
        <v>0</v>
      </c>
      <c r="N26" s="34">
        <f t="shared" si="11"/>
        <v>0</v>
      </c>
      <c r="O26" s="34">
        <f>IFERROR(INDEX(C26:N26,1,LatestAudCol),0)</f>
        <v>0</v>
      </c>
      <c r="P26" s="173" t="s">
        <v>1578</v>
      </c>
    </row>
    <row r="28" spans="1:16" ht="15" customHeight="1" x14ac:dyDescent="0.55000000000000004">
      <c r="A28" s="324" t="s">
        <v>1579</v>
      </c>
      <c r="B28" s="324"/>
      <c r="C28" s="324"/>
      <c r="D28" s="324"/>
      <c r="E28" s="324"/>
      <c r="F28" s="324"/>
      <c r="G28" s="324"/>
      <c r="H28" s="324"/>
      <c r="I28" s="324"/>
      <c r="J28" s="324"/>
      <c r="K28" s="324"/>
      <c r="L28" s="324"/>
      <c r="M28" s="324"/>
      <c r="N28" s="324"/>
      <c r="O28" s="324"/>
      <c r="P28" s="324"/>
    </row>
    <row r="29" spans="1:16" ht="30" customHeight="1" x14ac:dyDescent="0.55000000000000004">
      <c r="B29" s="236" t="s">
        <v>1580</v>
      </c>
      <c r="C29" s="236" t="s">
        <v>1581</v>
      </c>
      <c r="D29" s="236" t="s">
        <v>1582</v>
      </c>
      <c r="E29" s="236" t="s">
        <v>1583</v>
      </c>
      <c r="F29" s="236" t="s">
        <v>1584</v>
      </c>
      <c r="G29" s="236" t="s">
        <v>1585</v>
      </c>
    </row>
    <row r="30" spans="1:16" ht="15" customHeight="1" x14ac:dyDescent="0.55000000000000004">
      <c r="B30" t="s">
        <v>1586</v>
      </c>
      <c r="C30" s="237">
        <v>-1.32</v>
      </c>
      <c r="D30" s="237">
        <v>0</v>
      </c>
      <c r="E30" s="238">
        <v>1</v>
      </c>
      <c r="F30" s="238">
        <f t="shared" ref="F30:F39" si="12">C30*E30</f>
        <v>-1.32</v>
      </c>
      <c r="G30" s="238">
        <f t="shared" ref="G30:G39" si="13">C30*(E30-D30)</f>
        <v>-1.32</v>
      </c>
    </row>
    <row r="31" spans="1:16" ht="15" customHeight="1" x14ac:dyDescent="0.55000000000000004">
      <c r="B31" t="s">
        <v>1587</v>
      </c>
      <c r="C31" s="237">
        <v>-0.40699999999999997</v>
      </c>
      <c r="D31" s="237">
        <v>0</v>
      </c>
      <c r="E31" s="238">
        <f>IFERROR(INDEX(C21:N21,1,LatestAudCol),0)</f>
        <v>0</v>
      </c>
      <c r="F31" s="238">
        <f t="shared" si="12"/>
        <v>0</v>
      </c>
      <c r="G31" s="238">
        <f t="shared" si="13"/>
        <v>0</v>
      </c>
    </row>
    <row r="32" spans="1:16" ht="15" customHeight="1" x14ac:dyDescent="0.55000000000000004">
      <c r="B32" t="s">
        <v>1588</v>
      </c>
      <c r="C32" s="237">
        <v>6.03</v>
      </c>
      <c r="D32" s="237">
        <v>0.55000000000000004</v>
      </c>
      <c r="E32" s="238">
        <f>IFERROR(INDEX(C16:N16,1,LatestAudCol),0)</f>
        <v>0</v>
      </c>
      <c r="F32" s="238">
        <f t="shared" si="12"/>
        <v>0</v>
      </c>
      <c r="G32" s="238">
        <f t="shared" si="13"/>
        <v>-3.3165000000000004</v>
      </c>
    </row>
    <row r="33" spans="1:16" ht="15" customHeight="1" x14ac:dyDescent="0.55000000000000004">
      <c r="B33" t="s">
        <v>1589</v>
      </c>
      <c r="C33" s="237">
        <v>-1.43</v>
      </c>
      <c r="D33" s="237">
        <v>0.2</v>
      </c>
      <c r="E33" s="238">
        <f>IFERROR(INDEX(C17:N17,1,LatestAudCol),0)</f>
        <v>0</v>
      </c>
      <c r="F33" s="238">
        <f t="shared" si="12"/>
        <v>0</v>
      </c>
      <c r="G33" s="238">
        <f t="shared" si="13"/>
        <v>0.28599999999999998</v>
      </c>
    </row>
    <row r="34" spans="1:16" ht="15" customHeight="1" x14ac:dyDescent="0.55000000000000004">
      <c r="B34" t="s">
        <v>1590</v>
      </c>
      <c r="C34" s="237">
        <v>7.5700000000000003E-2</v>
      </c>
      <c r="D34" s="237">
        <v>0.65</v>
      </c>
      <c r="E34" s="238">
        <f>IFERROR(INDEX(C18:N18,1,LatestAudCol),0)</f>
        <v>0</v>
      </c>
      <c r="F34" s="238">
        <f t="shared" si="12"/>
        <v>0</v>
      </c>
      <c r="G34" s="238">
        <f t="shared" si="13"/>
        <v>-4.9205000000000006E-2</v>
      </c>
    </row>
    <row r="35" spans="1:16" ht="15" customHeight="1" x14ac:dyDescent="0.55000000000000004">
      <c r="B35" t="s">
        <v>1591</v>
      </c>
      <c r="C35" s="237">
        <v>-1.72</v>
      </c>
      <c r="D35" s="237">
        <v>0</v>
      </c>
      <c r="E35" s="238">
        <f>IFERROR(INDEX(C25:N25,1,LatestAudCol),0)</f>
        <v>0</v>
      </c>
      <c r="F35" s="238">
        <f t="shared" si="12"/>
        <v>0</v>
      </c>
      <c r="G35" s="238">
        <f t="shared" si="13"/>
        <v>0</v>
      </c>
    </row>
    <row r="36" spans="1:16" ht="15" customHeight="1" x14ac:dyDescent="0.55000000000000004">
      <c r="B36" t="s">
        <v>1592</v>
      </c>
      <c r="C36" s="237">
        <v>-2.37</v>
      </c>
      <c r="D36" s="237">
        <v>0.05</v>
      </c>
      <c r="E36" s="238">
        <f>IFERROR(INDEX(C19:N19,1,LatestAudCol),0)</f>
        <v>0</v>
      </c>
      <c r="F36" s="238">
        <f t="shared" si="12"/>
        <v>0</v>
      </c>
      <c r="G36" s="238">
        <f t="shared" si="13"/>
        <v>0.11850000000000001</v>
      </c>
    </row>
    <row r="37" spans="1:16" ht="15" customHeight="1" x14ac:dyDescent="0.55000000000000004">
      <c r="B37" t="s">
        <v>1593</v>
      </c>
      <c r="C37" s="237">
        <v>-1.83</v>
      </c>
      <c r="D37" s="237">
        <v>0.15</v>
      </c>
      <c r="E37" s="238">
        <f>IFERROR(INDEX(C20:N20,1,LatestAudCol),0)</f>
        <v>0</v>
      </c>
      <c r="F37" s="238">
        <f t="shared" si="12"/>
        <v>0</v>
      </c>
      <c r="G37" s="238">
        <f t="shared" si="13"/>
        <v>0.27450000000000002</v>
      </c>
    </row>
    <row r="38" spans="1:16" ht="15" customHeight="1" x14ac:dyDescent="0.55000000000000004">
      <c r="B38" t="s">
        <v>1594</v>
      </c>
      <c r="C38" s="237">
        <v>0.28499999999999998</v>
      </c>
      <c r="D38" s="237">
        <v>0</v>
      </c>
      <c r="E38" s="238">
        <f>IFERROR(INDEX(C26:N26,1,LatestAudCol),0)</f>
        <v>0</v>
      </c>
      <c r="F38" s="238">
        <f t="shared" si="12"/>
        <v>0</v>
      </c>
      <c r="G38" s="238">
        <f t="shared" si="13"/>
        <v>0</v>
      </c>
    </row>
    <row r="39" spans="1:16" ht="15" customHeight="1" x14ac:dyDescent="0.55000000000000004">
      <c r="B39" t="s">
        <v>1595</v>
      </c>
      <c r="C39" s="237">
        <v>-0.52100000000000002</v>
      </c>
      <c r="D39" s="237">
        <v>0</v>
      </c>
      <c r="E39" s="238">
        <f>IFERROR(INDEX(C22:N22,1,LatestAudCol),0)</f>
        <v>0</v>
      </c>
      <c r="F39" s="238">
        <f t="shared" si="12"/>
        <v>0</v>
      </c>
      <c r="G39" s="238">
        <f t="shared" si="13"/>
        <v>0</v>
      </c>
    </row>
    <row r="41" spans="1:16" ht="15" customHeight="1" x14ac:dyDescent="0.55000000000000004">
      <c r="A41" s="324" t="s">
        <v>1596</v>
      </c>
      <c r="B41" s="324"/>
      <c r="C41" s="324"/>
      <c r="D41" s="324"/>
      <c r="E41" s="324"/>
      <c r="F41" s="324"/>
      <c r="G41" s="324"/>
      <c r="H41" s="324"/>
      <c r="I41" s="324"/>
      <c r="J41" s="324"/>
      <c r="K41" s="324"/>
      <c r="L41" s="324"/>
      <c r="M41" s="324"/>
      <c r="N41" s="324"/>
      <c r="O41" s="324"/>
      <c r="P41" s="324"/>
    </row>
    <row r="42" spans="1:16" ht="15" customHeight="1" x14ac:dyDescent="0.55000000000000004">
      <c r="A42" s="50" t="s">
        <v>1597</v>
      </c>
      <c r="B42" t="s">
        <v>1598</v>
      </c>
      <c r="C42" s="239">
        <f t="shared" ref="C42:N42" si="14">$C$30 + $C$31*C21 + $C$32*C16 + $C$33*C17 + $C$34*C18 + $C$35*C25 + $C$36*C19 + $C$37*C20 + $C$38*C26 + $C$39*C22</f>
        <v>-1.32</v>
      </c>
      <c r="D42" s="239">
        <f t="shared" si="14"/>
        <v>-1.32</v>
      </c>
      <c r="E42" s="239">
        <f t="shared" si="14"/>
        <v>-1.32</v>
      </c>
      <c r="F42" s="239">
        <f t="shared" si="14"/>
        <v>-1.32</v>
      </c>
      <c r="G42" s="239">
        <f t="shared" si="14"/>
        <v>-1.32</v>
      </c>
      <c r="H42" s="239">
        <f t="shared" si="14"/>
        <v>-1.32</v>
      </c>
      <c r="I42" s="239">
        <f t="shared" si="14"/>
        <v>-1.32</v>
      </c>
      <c r="J42" s="239">
        <f t="shared" si="14"/>
        <v>-1.32</v>
      </c>
      <c r="K42" s="239">
        <f t="shared" si="14"/>
        <v>-1.32</v>
      </c>
      <c r="L42" s="239">
        <f t="shared" si="14"/>
        <v>-1.32</v>
      </c>
      <c r="M42" s="239">
        <f t="shared" si="14"/>
        <v>-1.32</v>
      </c>
      <c r="N42" s="239">
        <f t="shared" si="14"/>
        <v>-1.32</v>
      </c>
      <c r="O42" s="239">
        <f>IFERROR(INDEX(C42:N42,1,LatestAudCol),0)</f>
        <v>-1.32</v>
      </c>
      <c r="P42" s="173" t="s">
        <v>1599</v>
      </c>
    </row>
    <row r="43" spans="1:16" ht="15" customHeight="1" x14ac:dyDescent="0.55000000000000004">
      <c r="A43" s="50" t="s">
        <v>1600</v>
      </c>
      <c r="B43" t="s">
        <v>1601</v>
      </c>
      <c r="C43" s="240">
        <f t="shared" ref="C43:N43" si="15">IFERROR(EXP(C42)/(1+EXP(C42)),IF(C42&gt;0,1,0))</f>
        <v>0.21081829347774714</v>
      </c>
      <c r="D43" s="240">
        <f t="shared" si="15"/>
        <v>0.21081829347774714</v>
      </c>
      <c r="E43" s="240">
        <f t="shared" si="15"/>
        <v>0.21081829347774714</v>
      </c>
      <c r="F43" s="240">
        <f t="shared" si="15"/>
        <v>0.21081829347774714</v>
      </c>
      <c r="G43" s="240">
        <f t="shared" si="15"/>
        <v>0.21081829347774714</v>
      </c>
      <c r="H43" s="240">
        <f t="shared" si="15"/>
        <v>0.21081829347774714</v>
      </c>
      <c r="I43" s="240">
        <f t="shared" si="15"/>
        <v>0.21081829347774714</v>
      </c>
      <c r="J43" s="240">
        <f t="shared" si="15"/>
        <v>0.21081829347774714</v>
      </c>
      <c r="K43" s="240">
        <f t="shared" si="15"/>
        <v>0.21081829347774714</v>
      </c>
      <c r="L43" s="240">
        <f t="shared" si="15"/>
        <v>0.21081829347774714</v>
      </c>
      <c r="M43" s="240">
        <f t="shared" si="15"/>
        <v>0.21081829347774714</v>
      </c>
      <c r="N43" s="240">
        <f t="shared" si="15"/>
        <v>0.21081829347774714</v>
      </c>
      <c r="O43" s="241">
        <f>IFERROR(INDEX(C43:N43,1,LatestAudCol),0)</f>
        <v>0.21081829347774714</v>
      </c>
      <c r="P43" s="173" t="s">
        <v>1602</v>
      </c>
    </row>
    <row r="44" spans="1:16" ht="15" customHeight="1" x14ac:dyDescent="0.55000000000000004">
      <c r="A44" s="50" t="s">
        <v>1603</v>
      </c>
      <c r="B44" t="s">
        <v>1604</v>
      </c>
      <c r="C44" s="34" t="str">
        <f t="shared" ref="C44:N44" si="16">IF(C43="","",IF(C43&gt;=0.5,"🔴 SEVERE",IF(C43&gt;=0.2,"🟡 ELEVATED",IF(C43&gt;=0.038,"🟠 WATCH","🟢 HEALTHY"))))</f>
        <v>🟡 ELEVATED</v>
      </c>
      <c r="D44" s="34" t="str">
        <f t="shared" si="16"/>
        <v>🟡 ELEVATED</v>
      </c>
      <c r="E44" s="34" t="str">
        <f t="shared" si="16"/>
        <v>🟡 ELEVATED</v>
      </c>
      <c r="F44" s="34" t="str">
        <f t="shared" si="16"/>
        <v>🟡 ELEVATED</v>
      </c>
      <c r="G44" s="34" t="str">
        <f t="shared" si="16"/>
        <v>🟡 ELEVATED</v>
      </c>
      <c r="H44" s="34" t="str">
        <f t="shared" si="16"/>
        <v>🟡 ELEVATED</v>
      </c>
      <c r="I44" s="34" t="str">
        <f t="shared" si="16"/>
        <v>🟡 ELEVATED</v>
      </c>
      <c r="J44" s="34" t="str">
        <f t="shared" si="16"/>
        <v>🟡 ELEVATED</v>
      </c>
      <c r="K44" s="34" t="str">
        <f t="shared" si="16"/>
        <v>🟡 ELEVATED</v>
      </c>
      <c r="L44" s="34" t="str">
        <f t="shared" si="16"/>
        <v>🟡 ELEVATED</v>
      </c>
      <c r="M44" s="34" t="str">
        <f t="shared" si="16"/>
        <v>🟡 ELEVATED</v>
      </c>
      <c r="N44" s="34" t="str">
        <f t="shared" si="16"/>
        <v>🟡 ELEVATED</v>
      </c>
      <c r="O44" s="242" t="str">
        <f>IFERROR(INDEX(C44:N44,1,LatestAudCol),"-")</f>
        <v>🟡 ELEVATED</v>
      </c>
      <c r="P44" s="173" t="s">
        <v>1605</v>
      </c>
    </row>
    <row r="45" spans="1:16" ht="15" customHeight="1" x14ac:dyDescent="0.55000000000000004">
      <c r="A45" s="50" t="s">
        <v>1606</v>
      </c>
      <c r="B45" t="s">
        <v>1607</v>
      </c>
      <c r="C45" s="243">
        <f t="shared" ref="C45:N45" si="17">ROUND(10*(1-C43),1)</f>
        <v>7.9</v>
      </c>
      <c r="D45" s="243">
        <f t="shared" si="17"/>
        <v>7.9</v>
      </c>
      <c r="E45" s="243">
        <f t="shared" si="17"/>
        <v>7.9</v>
      </c>
      <c r="F45" s="243">
        <f t="shared" si="17"/>
        <v>7.9</v>
      </c>
      <c r="G45" s="243">
        <f t="shared" si="17"/>
        <v>7.9</v>
      </c>
      <c r="H45" s="243">
        <f t="shared" si="17"/>
        <v>7.9</v>
      </c>
      <c r="I45" s="243">
        <f t="shared" si="17"/>
        <v>7.9</v>
      </c>
      <c r="J45" s="243">
        <f t="shared" si="17"/>
        <v>7.9</v>
      </c>
      <c r="K45" s="243">
        <f t="shared" si="17"/>
        <v>7.9</v>
      </c>
      <c r="L45" s="243">
        <f t="shared" si="17"/>
        <v>7.9</v>
      </c>
      <c r="M45" s="243">
        <f t="shared" si="17"/>
        <v>7.9</v>
      </c>
      <c r="N45" s="243">
        <f t="shared" si="17"/>
        <v>7.9</v>
      </c>
      <c r="O45" s="244">
        <f>IFERROR(INDEX(C45:N45,1,LatestAudCol),0)</f>
        <v>7.9</v>
      </c>
      <c r="P45" s="173" t="s">
        <v>1608</v>
      </c>
    </row>
    <row r="50" spans="1:16" ht="15" customHeight="1" x14ac:dyDescent="0.55000000000000004">
      <c r="B50" s="173" t="s">
        <v>1609</v>
      </c>
      <c r="C50" s="245">
        <v>200</v>
      </c>
      <c r="D50" s="173" t="s">
        <v>1610</v>
      </c>
    </row>
    <row r="52" spans="1:16" ht="15" customHeight="1" x14ac:dyDescent="0.55000000000000004">
      <c r="A52" s="324" t="s">
        <v>1611</v>
      </c>
      <c r="B52" s="324"/>
      <c r="C52" s="324"/>
      <c r="D52" s="324"/>
      <c r="E52" s="324"/>
      <c r="F52" s="324"/>
      <c r="G52" s="324"/>
      <c r="H52" s="324"/>
      <c r="I52" s="324"/>
      <c r="J52" s="324"/>
      <c r="K52" s="324"/>
      <c r="L52" s="324"/>
      <c r="M52" s="324"/>
      <c r="N52" s="324"/>
      <c r="O52" s="324"/>
      <c r="P52" s="324"/>
    </row>
    <row r="53" spans="1:16" ht="15" customHeight="1" x14ac:dyDescent="0.55000000000000004">
      <c r="B53" s="327" t="s">
        <v>1612</v>
      </c>
      <c r="C53" s="327"/>
      <c r="D53" s="327"/>
      <c r="E53" s="327"/>
      <c r="F53" s="327"/>
      <c r="G53" s="327"/>
      <c r="H53" s="327"/>
      <c r="I53" s="327"/>
      <c r="J53" s="327"/>
      <c r="K53" s="327"/>
      <c r="L53" s="327"/>
      <c r="M53" s="327"/>
      <c r="N53" s="327"/>
      <c r="O53" s="327"/>
      <c r="P53" s="327"/>
    </row>
    <row r="54" spans="1:16" ht="15" customHeight="1" x14ac:dyDescent="0.55000000000000004">
      <c r="B54" s="230" t="s">
        <v>1580</v>
      </c>
      <c r="C54" s="230" t="s">
        <v>1613</v>
      </c>
      <c r="D54" s="230" t="s">
        <v>1614</v>
      </c>
      <c r="E54" s="230" t="s">
        <v>1615</v>
      </c>
      <c r="F54" s="230" t="s">
        <v>1616</v>
      </c>
    </row>
    <row r="55" spans="1:16" ht="15" customHeight="1" x14ac:dyDescent="0.55000000000000004">
      <c r="B55" t="s">
        <v>1617</v>
      </c>
      <c r="C55" s="239">
        <f t="shared" ref="C55:C63" si="18">G31</f>
        <v>0</v>
      </c>
      <c r="D55" s="235">
        <f t="shared" ref="D55:D63" si="19">ABS(G31)</f>
        <v>0</v>
      </c>
      <c r="E55" s="34" t="str">
        <f t="shared" ref="E55:E63" si="20">IF(G31&gt;0,"⚠ Risk-pushing",IF(G31&lt;0,"✓ Strength","Neutral"))</f>
        <v>Neutral</v>
      </c>
      <c r="F55" s="34">
        <f t="shared" ref="F55:F63" si="21">RANK(D55,$D$55:$D$63)</f>
        <v>6</v>
      </c>
    </row>
    <row r="56" spans="1:16" ht="15" customHeight="1" x14ac:dyDescent="0.55000000000000004">
      <c r="B56" t="s">
        <v>1555</v>
      </c>
      <c r="C56" s="239">
        <f t="shared" si="18"/>
        <v>-3.3165000000000004</v>
      </c>
      <c r="D56" s="235">
        <f t="shared" si="19"/>
        <v>3.3165000000000004</v>
      </c>
      <c r="E56" s="34" t="str">
        <f t="shared" si="20"/>
        <v>✓ Strength</v>
      </c>
      <c r="F56" s="34">
        <f t="shared" si="21"/>
        <v>1</v>
      </c>
    </row>
    <row r="57" spans="1:16" ht="15" customHeight="1" x14ac:dyDescent="0.55000000000000004">
      <c r="B57" t="s">
        <v>1558</v>
      </c>
      <c r="C57" s="239">
        <f t="shared" si="18"/>
        <v>0.28599999999999998</v>
      </c>
      <c r="D57" s="235">
        <f t="shared" si="19"/>
        <v>0.28599999999999998</v>
      </c>
      <c r="E57" s="34" t="str">
        <f t="shared" si="20"/>
        <v>⚠ Risk-pushing</v>
      </c>
      <c r="F57" s="34">
        <f t="shared" si="21"/>
        <v>2</v>
      </c>
    </row>
    <row r="58" spans="1:16" ht="15" customHeight="1" x14ac:dyDescent="0.55000000000000004">
      <c r="B58" t="s">
        <v>1590</v>
      </c>
      <c r="C58" s="239">
        <f t="shared" si="18"/>
        <v>-4.9205000000000006E-2</v>
      </c>
      <c r="D58" s="235">
        <f t="shared" si="19"/>
        <v>4.9205000000000006E-2</v>
      </c>
      <c r="E58" s="34" t="str">
        <f t="shared" si="20"/>
        <v>✓ Strength</v>
      </c>
      <c r="F58" s="34">
        <f t="shared" si="21"/>
        <v>5</v>
      </c>
    </row>
    <row r="59" spans="1:16" ht="15" customHeight="1" x14ac:dyDescent="0.55000000000000004">
      <c r="B59" t="s">
        <v>1618</v>
      </c>
      <c r="C59" s="239">
        <f t="shared" si="18"/>
        <v>0</v>
      </c>
      <c r="D59" s="235">
        <f t="shared" si="19"/>
        <v>0</v>
      </c>
      <c r="E59" s="34" t="str">
        <f t="shared" si="20"/>
        <v>Neutral</v>
      </c>
      <c r="F59" s="34">
        <f t="shared" si="21"/>
        <v>6</v>
      </c>
    </row>
    <row r="60" spans="1:16" ht="15" customHeight="1" x14ac:dyDescent="0.55000000000000004">
      <c r="B60" t="s">
        <v>1619</v>
      </c>
      <c r="C60" s="239">
        <f t="shared" si="18"/>
        <v>0.11850000000000001</v>
      </c>
      <c r="D60" s="235">
        <f t="shared" si="19"/>
        <v>0.11850000000000001</v>
      </c>
      <c r="E60" s="34" t="str">
        <f t="shared" si="20"/>
        <v>⚠ Risk-pushing</v>
      </c>
      <c r="F60" s="34">
        <f t="shared" si="21"/>
        <v>4</v>
      </c>
    </row>
    <row r="61" spans="1:16" ht="15" customHeight="1" x14ac:dyDescent="0.55000000000000004">
      <c r="B61" t="s">
        <v>1620</v>
      </c>
      <c r="C61" s="239">
        <f t="shared" si="18"/>
        <v>0.27450000000000002</v>
      </c>
      <c r="D61" s="235">
        <f t="shared" si="19"/>
        <v>0.27450000000000002</v>
      </c>
      <c r="E61" s="34" t="str">
        <f t="shared" si="20"/>
        <v>⚠ Risk-pushing</v>
      </c>
      <c r="F61" s="34">
        <f t="shared" si="21"/>
        <v>3</v>
      </c>
    </row>
    <row r="62" spans="1:16" ht="15" customHeight="1" x14ac:dyDescent="0.55000000000000004">
      <c r="B62" t="s">
        <v>1621</v>
      </c>
      <c r="C62" s="239">
        <f t="shared" si="18"/>
        <v>0</v>
      </c>
      <c r="D62" s="235">
        <f t="shared" si="19"/>
        <v>0</v>
      </c>
      <c r="E62" s="34" t="str">
        <f t="shared" si="20"/>
        <v>Neutral</v>
      </c>
      <c r="F62" s="34">
        <f t="shared" si="21"/>
        <v>6</v>
      </c>
    </row>
    <row r="63" spans="1:16" ht="15" customHeight="1" x14ac:dyDescent="0.55000000000000004">
      <c r="B63" t="s">
        <v>1622</v>
      </c>
      <c r="C63" s="239">
        <f t="shared" si="18"/>
        <v>0</v>
      </c>
      <c r="D63" s="235">
        <f t="shared" si="19"/>
        <v>0</v>
      </c>
      <c r="E63" s="34" t="str">
        <f t="shared" si="20"/>
        <v>Neutral</v>
      </c>
      <c r="F63" s="34">
        <f t="shared" si="21"/>
        <v>6</v>
      </c>
    </row>
    <row r="65" spans="1:16" ht="15" customHeight="1" x14ac:dyDescent="0.55000000000000004">
      <c r="A65" s="324" t="s">
        <v>1623</v>
      </c>
      <c r="B65" s="324"/>
      <c r="C65" s="324"/>
      <c r="D65" s="324"/>
      <c r="E65" s="324"/>
      <c r="F65" s="324"/>
      <c r="G65" s="324"/>
      <c r="H65" s="324"/>
      <c r="I65" s="324"/>
      <c r="J65" s="324"/>
      <c r="K65" s="324"/>
      <c r="L65" s="324"/>
      <c r="M65" s="324"/>
      <c r="N65" s="324"/>
      <c r="O65" s="324"/>
      <c r="P65" s="324"/>
    </row>
    <row r="66" spans="1:16" ht="15" customHeight="1" x14ac:dyDescent="0.55000000000000004">
      <c r="B66" s="340" t="s">
        <v>1624</v>
      </c>
      <c r="C66" s="340"/>
      <c r="D66" s="340"/>
      <c r="E66" s="340"/>
      <c r="F66" s="340"/>
      <c r="H66" s="341" t="s">
        <v>1625</v>
      </c>
      <c r="I66" s="341"/>
      <c r="J66" s="341"/>
      <c r="K66" s="341"/>
      <c r="L66" s="341"/>
    </row>
    <row r="67" spans="1:16" ht="15" customHeight="1" x14ac:dyDescent="0.55000000000000004">
      <c r="B67" s="246" t="str">
        <f>IFERROR(IF(LARGE($C$55:$C$63,1)&gt;0,INDEX($B$55:$B$63,MATCH(LARGE($C$55:$C$63,1),$C$55:$C$63,0)),"—"),"—")</f>
        <v>WC / TA  (liquidity)</v>
      </c>
      <c r="C67" s="239">
        <f>IFERROR(IF(LARGE($C$55:$C$63,1)&gt;0,LARGE($C$55:$C$63,1),"—"),"—")</f>
        <v>0.28599999999999998</v>
      </c>
      <c r="D67" s="34" t="str">
        <f>IF(ISNUMBER(C67),IF(C67&gt;0,"⚠","—"),"—")</f>
        <v>⚠</v>
      </c>
      <c r="H67" s="246" t="str">
        <f>IFERROR(IF(SMALL($C$55:$C$63,1)&lt;0,INDEX($B$55:$B$63,MATCH(SMALL($C$55:$C$63,1),$C$55:$C$63,0)),"—"),"—")</f>
        <v>TL / TA  (leverage)</v>
      </c>
      <c r="I67" s="239">
        <f>IFERROR(IF(SMALL($C$55:$C$63,1)&lt;0,SMALL($C$55:$C$63,1),"—"),"—")</f>
        <v>-3.3165000000000004</v>
      </c>
      <c r="J67" s="34" t="str">
        <f>IF(ISNUMBER(I67),IF(I67&lt;0,"✓","—"),"—")</f>
        <v>✓</v>
      </c>
    </row>
    <row r="68" spans="1:16" ht="15" customHeight="1" x14ac:dyDescent="0.55000000000000004">
      <c r="B68" s="246" t="str">
        <f>IFERROR(IF(LARGE($C$55:$C$63,2)&gt;0,INDEX($B$55:$B$63,MATCH(LARGE($C$55:$C$63,2),$C$55:$C$63,0)),"—"),"—")</f>
        <v>FFO / TL  (cash gen)</v>
      </c>
      <c r="C68" s="239">
        <f>IFERROR(IF(LARGE($C$55:$C$63,2)&gt;0,LARGE($C$55:$C$63,2),"—"),"—")</f>
        <v>0.27450000000000002</v>
      </c>
      <c r="D68" s="34" t="str">
        <f>IF(ISNUMBER(C68),IF(C68&gt;0,"⚠","—"),"—")</f>
        <v>⚠</v>
      </c>
      <c r="H68" s="246" t="str">
        <f>IFERROR(IF(SMALL($C$55:$C$63,2)&lt;0,INDEX($B$55:$B$63,MATCH(SMALL($C$55:$C$63,2),$C$55:$C$63,0)),"—"),"—")</f>
        <v>CL / CA</v>
      </c>
      <c r="I68" s="239">
        <f>IFERROR(IF(SMALL($C$55:$C$63,2)&lt;0,SMALL($C$55:$C$63,2),"—"),"—")</f>
        <v>-4.9205000000000006E-2</v>
      </c>
      <c r="J68" s="34" t="str">
        <f>IF(ISNUMBER(I68),IF(I68&lt;0,"✓","—"),"—")</f>
        <v>✓</v>
      </c>
    </row>
    <row r="69" spans="1:16" ht="15" customHeight="1" x14ac:dyDescent="0.55000000000000004">
      <c r="B69" s="246" t="str">
        <f>IFERROR(IF(LARGE($C$55:$C$63,3)&gt;0,INDEX($B$55:$B$63,MATCH(LARGE($C$55:$C$63,3),$C$55:$C$63,0)),"—"),"—")</f>
        <v>NI / TA  (profitability)</v>
      </c>
      <c r="C69" s="239">
        <f>IFERROR(IF(LARGE($C$55:$C$63,3)&gt;0,LARGE($C$55:$C$63,3),"—"),"—")</f>
        <v>0.11850000000000001</v>
      </c>
      <c r="D69" s="34" t="str">
        <f>IF(ISNUMBER(C69),IF(C69&gt;0,"⚠","—"),"—")</f>
        <v>⚠</v>
      </c>
      <c r="H69" s="246" t="str">
        <f>IFERROR(IF(SMALL($C$55:$C$63,3)&lt;0,INDEX($B$55:$B$63,MATCH(SMALL($C$55:$C$63,3),$C$55:$C$63,0)),"—"),"—")</f>
        <v>—</v>
      </c>
      <c r="I69" s="239" t="str">
        <f>IFERROR(IF(SMALL($C$55:$C$63,3)&lt;0,SMALL($C$55:$C$63,3),"—"),"—")</f>
        <v>—</v>
      </c>
      <c r="J69" s="34" t="str">
        <f>IF(ISNUMBER(I69),IF(I69&lt;0,"✓","—"),"—")</f>
        <v>—</v>
      </c>
    </row>
    <row r="71" spans="1:16" ht="27.75" customHeight="1" x14ac:dyDescent="0.55000000000000004">
      <c r="B71" s="327" t="s">
        <v>1626</v>
      </c>
      <c r="C71" s="327"/>
      <c r="D71" s="327"/>
      <c r="E71" s="327"/>
      <c r="F71" s="327"/>
      <c r="G71" s="327"/>
      <c r="H71" s="327"/>
      <c r="I71" s="327"/>
      <c r="J71" s="327"/>
      <c r="K71" s="327"/>
      <c r="L71" s="327"/>
      <c r="M71" s="327"/>
      <c r="N71" s="327"/>
      <c r="O71" s="327"/>
      <c r="P71" s="327"/>
    </row>
    <row r="73" spans="1:16" ht="15" customHeight="1" x14ac:dyDescent="0.55000000000000004">
      <c r="A73" s="324" t="s">
        <v>1627</v>
      </c>
      <c r="B73" s="324"/>
      <c r="C73" s="324"/>
      <c r="D73" s="324"/>
      <c r="E73" s="324"/>
      <c r="F73" s="324"/>
      <c r="G73" s="324"/>
      <c r="H73" s="324"/>
      <c r="I73" s="324"/>
      <c r="J73" s="324"/>
      <c r="K73" s="324"/>
      <c r="L73" s="324"/>
      <c r="M73" s="324"/>
      <c r="N73" s="324"/>
      <c r="O73" s="324"/>
      <c r="P73" s="324"/>
    </row>
    <row r="74" spans="1:16" ht="49.5" customHeight="1" x14ac:dyDescent="0.55000000000000004">
      <c r="B74" s="329" t="str">
        <f>IF(O7=0,"⚠ Insufficient data — populate Balance Sheet (3_Balance_Sheet) and Operating Statement (2_Operating_Statement) before interpreting Ohlson outputs.","The Ohlson O-Score model assigns a Probability of Default of "&amp;TEXT(O43,"0.0%")&amp;" for the latest audited year, classifying the borrower as "&amp;O44&amp;". The largest single driver pushing the score is "&amp;IFERROR(IF(LARGE($C$55:$C$63,1)&gt;0,INDEX($B$55:$B$63,MATCH(LARGE($C$55:$C$63,1),$C$55:$C$63,0))&amp;" (deviation: "&amp;TEXT(LARGE($C$55:$C$63,1),"+0.000;-0.000")&amp;")","none — all variables are below baseline"),"—")&amp;". The strongest mitigating factor is "&amp;IFERROR(IF(SMALL($C$55:$C$63,1)&lt;0,INDEX($B$55:$B$63,MATCH(SMALL($C$55:$C$63,1),$C$55:$C$63,0))&amp;" (deviation: "&amp;TEXT(SMALL($C$55:$C$63,1),"+0.000;-0.000")&amp;")","none — all variables are above baseline"),"—")&amp;".")</f>
        <v>⚠ Insufficient data — populate Balance Sheet (3_Balance_Sheet) and Operating Statement (2_Operating_Statement) before interpreting Ohlson outputs.</v>
      </c>
      <c r="C74" s="329"/>
      <c r="D74" s="329"/>
      <c r="E74" s="329"/>
      <c r="F74" s="329"/>
      <c r="G74" s="329"/>
      <c r="H74" s="329"/>
      <c r="I74" s="329"/>
      <c r="J74" s="329"/>
      <c r="K74" s="329"/>
      <c r="L74" s="329"/>
      <c r="M74" s="329"/>
      <c r="N74" s="329"/>
      <c r="O74" s="329"/>
      <c r="P74" s="329"/>
    </row>
    <row r="76" spans="1:16" ht="15" customHeight="1" x14ac:dyDescent="0.55000000000000004">
      <c r="A76" s="324" t="s">
        <v>1628</v>
      </c>
      <c r="B76" s="324"/>
      <c r="C76" s="324"/>
      <c r="D76" s="324"/>
      <c r="E76" s="324"/>
      <c r="F76" s="324"/>
      <c r="G76" s="324"/>
      <c r="H76" s="324"/>
      <c r="I76" s="324"/>
      <c r="J76" s="324"/>
      <c r="K76" s="324"/>
      <c r="L76" s="324"/>
      <c r="M76" s="324"/>
      <c r="N76" s="324"/>
      <c r="O76" s="324"/>
      <c r="P76" s="324"/>
    </row>
    <row r="77" spans="1:16" ht="18" customHeight="1" x14ac:dyDescent="0.55000000000000004">
      <c r="B77" s="342" t="s">
        <v>1629</v>
      </c>
      <c r="C77" s="342"/>
      <c r="D77" s="342"/>
      <c r="E77" s="342"/>
      <c r="F77" s="342"/>
      <c r="G77" s="342"/>
      <c r="H77" s="342"/>
      <c r="I77" s="342"/>
      <c r="J77" s="342"/>
      <c r="K77" s="342"/>
      <c r="L77" s="342"/>
      <c r="M77" s="342"/>
      <c r="N77" s="342"/>
      <c r="O77" s="342"/>
      <c r="P77" s="342"/>
    </row>
    <row r="78" spans="1:16" ht="18" customHeight="1" x14ac:dyDescent="0.55000000000000004">
      <c r="B78" s="342" t="s">
        <v>1630</v>
      </c>
      <c r="C78" s="342"/>
      <c r="D78" s="342"/>
      <c r="E78" s="342"/>
      <c r="F78" s="342"/>
      <c r="G78" s="342"/>
      <c r="H78" s="342"/>
      <c r="I78" s="342"/>
      <c r="J78" s="342"/>
      <c r="K78" s="342"/>
      <c r="L78" s="342"/>
      <c r="M78" s="342"/>
      <c r="N78" s="342"/>
      <c r="O78" s="342"/>
      <c r="P78" s="342"/>
    </row>
    <row r="79" spans="1:16" ht="18" customHeight="1" x14ac:dyDescent="0.55000000000000004">
      <c r="B79" s="342" t="s">
        <v>1631</v>
      </c>
      <c r="C79" s="342"/>
      <c r="D79" s="342"/>
      <c r="E79" s="342"/>
      <c r="F79" s="342"/>
      <c r="G79" s="342"/>
      <c r="H79" s="342"/>
      <c r="I79" s="342"/>
      <c r="J79" s="342"/>
      <c r="K79" s="342"/>
      <c r="L79" s="342"/>
      <c r="M79" s="342"/>
      <c r="N79" s="342"/>
      <c r="O79" s="342"/>
      <c r="P79" s="342"/>
    </row>
    <row r="81" spans="2:16" ht="18" customHeight="1" x14ac:dyDescent="0.55000000000000004">
      <c r="B81" s="342" t="s">
        <v>1632</v>
      </c>
      <c r="C81" s="342"/>
      <c r="D81" s="342"/>
      <c r="E81" s="342"/>
      <c r="F81" s="342"/>
      <c r="G81" s="342"/>
      <c r="H81" s="342"/>
      <c r="I81" s="342"/>
      <c r="J81" s="342"/>
      <c r="K81" s="342"/>
      <c r="L81" s="342"/>
      <c r="M81" s="342"/>
      <c r="N81" s="342"/>
      <c r="O81" s="342"/>
      <c r="P81" s="342"/>
    </row>
    <row r="82" spans="2:16" ht="21.75" customHeight="1" x14ac:dyDescent="0.55000000000000004">
      <c r="B82" s="342" t="s">
        <v>1633</v>
      </c>
      <c r="C82" s="342"/>
      <c r="D82" s="342"/>
      <c r="E82" s="342"/>
      <c r="F82" s="342"/>
      <c r="G82" s="342"/>
      <c r="H82" s="342"/>
      <c r="I82" s="342"/>
      <c r="J82" s="342"/>
      <c r="K82" s="342"/>
      <c r="L82" s="342"/>
      <c r="M82" s="342"/>
      <c r="N82" s="342"/>
      <c r="O82" s="342"/>
      <c r="P82" s="342"/>
    </row>
    <row r="83" spans="2:16" ht="21.75" customHeight="1" x14ac:dyDescent="0.55000000000000004">
      <c r="B83" s="342" t="s">
        <v>1634</v>
      </c>
      <c r="C83" s="342"/>
      <c r="D83" s="342"/>
      <c r="E83" s="342"/>
      <c r="F83" s="342"/>
      <c r="G83" s="342"/>
      <c r="H83" s="342"/>
      <c r="I83" s="342"/>
      <c r="J83" s="342"/>
      <c r="K83" s="342"/>
      <c r="L83" s="342"/>
      <c r="M83" s="342"/>
      <c r="N83" s="342"/>
      <c r="O83" s="342"/>
      <c r="P83" s="342"/>
    </row>
    <row r="84" spans="2:16" ht="21.75" customHeight="1" x14ac:dyDescent="0.55000000000000004">
      <c r="B84" s="342" t="s">
        <v>1635</v>
      </c>
      <c r="C84" s="342"/>
      <c r="D84" s="342"/>
      <c r="E84" s="342"/>
      <c r="F84" s="342"/>
      <c r="G84" s="342"/>
      <c r="H84" s="342"/>
      <c r="I84" s="342"/>
      <c r="J84" s="342"/>
      <c r="K84" s="342"/>
      <c r="L84" s="342"/>
      <c r="M84" s="342"/>
      <c r="N84" s="342"/>
      <c r="O84" s="342"/>
      <c r="P84" s="342"/>
    </row>
    <row r="85" spans="2:16" ht="21.75" customHeight="1" x14ac:dyDescent="0.55000000000000004">
      <c r="B85" s="342" t="s">
        <v>1636</v>
      </c>
      <c r="C85" s="342"/>
      <c r="D85" s="342"/>
      <c r="E85" s="342"/>
      <c r="F85" s="342"/>
      <c r="G85" s="342"/>
      <c r="H85" s="342"/>
      <c r="I85" s="342"/>
      <c r="J85" s="342"/>
      <c r="K85" s="342"/>
      <c r="L85" s="342"/>
      <c r="M85" s="342"/>
      <c r="N85" s="342"/>
      <c r="O85" s="342"/>
      <c r="P85" s="342"/>
    </row>
    <row r="86" spans="2:16" ht="21.75" customHeight="1" x14ac:dyDescent="0.55000000000000004">
      <c r="B86" s="342" t="s">
        <v>1637</v>
      </c>
      <c r="C86" s="342"/>
      <c r="D86" s="342"/>
      <c r="E86" s="342"/>
      <c r="F86" s="342"/>
      <c r="G86" s="342"/>
      <c r="H86" s="342"/>
      <c r="I86" s="342"/>
      <c r="J86" s="342"/>
      <c r="K86" s="342"/>
      <c r="L86" s="342"/>
      <c r="M86" s="342"/>
      <c r="N86" s="342"/>
      <c r="O86" s="342"/>
      <c r="P86" s="342"/>
    </row>
  </sheetData>
  <mergeCells count="25">
    <mergeCell ref="B82:P82"/>
    <mergeCell ref="B83:P83"/>
    <mergeCell ref="B84:P84"/>
    <mergeCell ref="B85:P85"/>
    <mergeCell ref="B86:P86"/>
    <mergeCell ref="A76:P76"/>
    <mergeCell ref="B77:P77"/>
    <mergeCell ref="B78:P78"/>
    <mergeCell ref="B79:P79"/>
    <mergeCell ref="B81:P81"/>
    <mergeCell ref="B66:F66"/>
    <mergeCell ref="H66:L66"/>
    <mergeCell ref="B71:P71"/>
    <mergeCell ref="A73:P73"/>
    <mergeCell ref="B74:P74"/>
    <mergeCell ref="A28:P28"/>
    <mergeCell ref="A41:P41"/>
    <mergeCell ref="A52:P52"/>
    <mergeCell ref="B53:P53"/>
    <mergeCell ref="A65:P65"/>
    <mergeCell ref="A1:P1"/>
    <mergeCell ref="A2:P2"/>
    <mergeCell ref="A6:P6"/>
    <mergeCell ref="A15:P15"/>
    <mergeCell ref="A24:P24"/>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507"/>
  <sheetViews>
    <sheetView zoomScaleNormal="100" workbookViewId="0"/>
  </sheetViews>
  <sheetFormatPr defaultColWidth="8.68359375" defaultRowHeight="14.4" x14ac:dyDescent="0.55000000000000004"/>
  <cols>
    <col min="1" max="1" width="5" customWidth="1"/>
    <col min="2" max="2" width="38" customWidth="1"/>
    <col min="3" max="8" width="12" customWidth="1"/>
    <col min="9" max="9" width="16" customWidth="1"/>
    <col min="10" max="10" width="30" customWidth="1"/>
    <col min="11" max="11" width="4" customWidth="1"/>
    <col min="12" max="12" width="14" customWidth="1"/>
    <col min="13" max="13" width="16" customWidth="1"/>
    <col min="14" max="14" width="4" customWidth="1"/>
    <col min="15" max="15" width="20" customWidth="1"/>
    <col min="16" max="16" width="30" customWidth="1"/>
  </cols>
  <sheetData>
    <row r="1" spans="1:16" ht="21.75" customHeight="1" x14ac:dyDescent="0.55000000000000004">
      <c r="A1" s="339" t="str">
        <f>CONCATENATE("STATISTICAL ANOMALY DETECTION  |  Benford + Rolling Z  |  ", BorrowerName)</f>
        <v xml:space="preserve">STATISTICAL ANOMALY DETECTION  |  Benford + Rolling Z  |  </v>
      </c>
      <c r="B1" s="339"/>
      <c r="C1" s="339"/>
      <c r="D1" s="339"/>
      <c r="E1" s="339"/>
      <c r="F1" s="339"/>
      <c r="G1" s="339"/>
      <c r="H1" s="339"/>
      <c r="I1" s="339"/>
      <c r="J1" s="339"/>
      <c r="K1" s="339"/>
      <c r="L1" s="339"/>
      <c r="M1" s="339"/>
      <c r="N1" s="339"/>
      <c r="O1" s="339"/>
      <c r="P1" s="339"/>
    </row>
    <row r="2" spans="1:16" ht="15" customHeight="1" x14ac:dyDescent="0.55000000000000004">
      <c r="A2" s="327" t="s">
        <v>1638</v>
      </c>
      <c r="B2" s="327"/>
      <c r="C2" s="327"/>
      <c r="D2" s="327"/>
      <c r="E2" s="327"/>
      <c r="F2" s="327"/>
      <c r="G2" s="327"/>
      <c r="H2" s="327"/>
      <c r="I2" s="327"/>
      <c r="J2" s="327"/>
      <c r="K2" s="327"/>
      <c r="L2" s="327"/>
      <c r="M2" s="327"/>
      <c r="N2" s="327"/>
      <c r="O2" s="327"/>
      <c r="P2" s="327"/>
    </row>
    <row r="4" spans="1:16" ht="15" customHeight="1" x14ac:dyDescent="0.55000000000000004">
      <c r="A4" s="324" t="s">
        <v>1639</v>
      </c>
      <c r="B4" s="324"/>
      <c r="C4" s="324"/>
      <c r="D4" s="324"/>
      <c r="E4" s="324"/>
      <c r="F4" s="324"/>
      <c r="G4" s="324"/>
      <c r="H4" s="324"/>
      <c r="I4" s="324"/>
      <c r="J4" s="324"/>
      <c r="K4" s="324"/>
      <c r="L4" s="324"/>
      <c r="M4" s="324"/>
      <c r="N4" s="324"/>
      <c r="O4" s="324"/>
      <c r="P4" s="324"/>
    </row>
    <row r="5" spans="1:16" ht="31.5" customHeight="1" x14ac:dyDescent="0.55000000000000004">
      <c r="B5" s="342" t="s">
        <v>1640</v>
      </c>
      <c r="C5" s="342"/>
      <c r="D5" s="342"/>
      <c r="E5" s="342"/>
      <c r="F5" s="342"/>
      <c r="G5" s="342"/>
      <c r="H5" s="342"/>
      <c r="I5" s="342"/>
      <c r="J5" s="342"/>
      <c r="K5" s="342"/>
      <c r="L5" s="342"/>
      <c r="M5" s="342"/>
      <c r="N5" s="342"/>
      <c r="O5" s="342"/>
      <c r="P5" s="342"/>
    </row>
    <row r="6" spans="1:16" ht="15" customHeight="1" x14ac:dyDescent="0.55000000000000004">
      <c r="L6" s="247" t="s">
        <v>1641</v>
      </c>
      <c r="M6" s="247" t="s">
        <v>1642</v>
      </c>
    </row>
    <row r="7" spans="1:16" ht="31.5" customHeight="1" x14ac:dyDescent="0.55000000000000004">
      <c r="B7" s="248" t="s">
        <v>251</v>
      </c>
      <c r="C7" s="248" t="s">
        <v>1643</v>
      </c>
      <c r="D7" s="248" t="s">
        <v>1644</v>
      </c>
      <c r="E7" s="248" t="s">
        <v>1645</v>
      </c>
      <c r="F7" s="248" t="s">
        <v>1646</v>
      </c>
      <c r="G7" s="248" t="s">
        <v>1647</v>
      </c>
      <c r="H7" s="248" t="s">
        <v>1648</v>
      </c>
      <c r="I7" s="248" t="s">
        <v>1258</v>
      </c>
      <c r="J7" s="248" t="s">
        <v>137</v>
      </c>
      <c r="L7" s="230" t="s">
        <v>1649</v>
      </c>
      <c r="M7" s="230" t="s">
        <v>1650</v>
      </c>
    </row>
    <row r="8" spans="1:16" ht="15" customHeight="1" x14ac:dyDescent="0.55000000000000004">
      <c r="B8" s="50">
        <v>1</v>
      </c>
      <c r="C8" s="50">
        <v>1</v>
      </c>
      <c r="D8" s="183">
        <f>LOG10(1+1/1)</f>
        <v>0.3010299956639812</v>
      </c>
      <c r="E8" s="34">
        <f>COUNTIF($L$8:$L$507,1)</f>
        <v>0</v>
      </c>
      <c r="F8" s="183">
        <f t="shared" ref="F8:F16" si="0">IFERROR(E8/SUM($E$8:$E$16),0)</f>
        <v>0</v>
      </c>
      <c r="G8" s="183">
        <f t="shared" ref="G8:G16" si="1">ABS(F8-D8)</f>
        <v>0.3010299956639812</v>
      </c>
      <c r="H8" s="249" t="str">
        <f t="shared" ref="H8:H16" si="2">IFERROR(IF(SUM($E$8:$E$16)&lt;30,"—",(ABS(F8-D8)-1/(2*SUM($E$8:$E$16)))/SQRT(D8*(1-D8)/SUM($E$8:$E$16))),0)</f>
        <v>—</v>
      </c>
      <c r="I8" s="34" t="str">
        <f t="shared" ref="I8:I16" si="3">IF(SUM($E$8:$E$16)&lt;30,"Need ≥30 obs",IF(ISNUMBER(H8),IF(H8&gt;2.58,"🔴 FAIL (99%)",IF(H8&gt;1.96,"🟠 FAIL (95%)",IF(H8&gt;1.645,"🟡 BORDERLINE","🟢 PASS"))),"—"))</f>
        <v>Need ≥30 obs</v>
      </c>
      <c r="L8" s="34" t="str">
        <f t="shared" ref="L8:L21" si="4">IF(M8="","",IFERROR(VALUE(LEFT(TEXT(ABS(M8),"0"),1)),""))</f>
        <v/>
      </c>
    </row>
    <row r="9" spans="1:16" ht="15" customHeight="1" x14ac:dyDescent="0.55000000000000004">
      <c r="B9" s="50">
        <v>2</v>
      </c>
      <c r="C9" s="50">
        <v>2</v>
      </c>
      <c r="D9" s="183">
        <f>LOG10(1+1/2)</f>
        <v>0.17609125905568124</v>
      </c>
      <c r="E9" s="34">
        <f>COUNTIF($L$8:$L$507,2)</f>
        <v>0</v>
      </c>
      <c r="F9" s="183">
        <f t="shared" si="0"/>
        <v>0</v>
      </c>
      <c r="G9" s="183">
        <f t="shared" si="1"/>
        <v>0.17609125905568124</v>
      </c>
      <c r="H9" s="249" t="str">
        <f t="shared" si="2"/>
        <v>—</v>
      </c>
      <c r="I9" s="34" t="str">
        <f t="shared" si="3"/>
        <v>Need ≥30 obs</v>
      </c>
      <c r="L9" s="34" t="str">
        <f t="shared" si="4"/>
        <v/>
      </c>
    </row>
    <row r="10" spans="1:16" ht="15" customHeight="1" x14ac:dyDescent="0.55000000000000004">
      <c r="B10" s="50">
        <v>3</v>
      </c>
      <c r="C10" s="50">
        <v>3</v>
      </c>
      <c r="D10" s="183">
        <f>LOG10(1+1/3)</f>
        <v>0.12493873660829993</v>
      </c>
      <c r="E10" s="34">
        <f>COUNTIF($L$8:$L$507,3)</f>
        <v>0</v>
      </c>
      <c r="F10" s="183">
        <f t="shared" si="0"/>
        <v>0</v>
      </c>
      <c r="G10" s="183">
        <f t="shared" si="1"/>
        <v>0.12493873660829993</v>
      </c>
      <c r="H10" s="249" t="str">
        <f t="shared" si="2"/>
        <v>—</v>
      </c>
      <c r="I10" s="34" t="str">
        <f t="shared" si="3"/>
        <v>Need ≥30 obs</v>
      </c>
      <c r="L10" s="34" t="str">
        <f t="shared" si="4"/>
        <v/>
      </c>
    </row>
    <row r="11" spans="1:16" ht="15" customHeight="1" x14ac:dyDescent="0.55000000000000004">
      <c r="B11" s="50">
        <v>4</v>
      </c>
      <c r="C11" s="50">
        <v>4</v>
      </c>
      <c r="D11" s="183">
        <f>LOG10(1+1/4)</f>
        <v>9.691001300805642E-2</v>
      </c>
      <c r="E11" s="34">
        <f>COUNTIF($L$8:$L$507,4)</f>
        <v>0</v>
      </c>
      <c r="F11" s="183">
        <f t="shared" si="0"/>
        <v>0</v>
      </c>
      <c r="G11" s="183">
        <f t="shared" si="1"/>
        <v>9.691001300805642E-2</v>
      </c>
      <c r="H11" s="249" t="str">
        <f t="shared" si="2"/>
        <v>—</v>
      </c>
      <c r="I11" s="34" t="str">
        <f t="shared" si="3"/>
        <v>Need ≥30 obs</v>
      </c>
      <c r="L11" s="34" t="str">
        <f t="shared" si="4"/>
        <v/>
      </c>
    </row>
    <row r="12" spans="1:16" ht="15" customHeight="1" x14ac:dyDescent="0.55000000000000004">
      <c r="B12" s="50">
        <v>5</v>
      </c>
      <c r="C12" s="50">
        <v>5</v>
      </c>
      <c r="D12" s="183">
        <f>LOG10(1+1/5)</f>
        <v>7.9181246047624818E-2</v>
      </c>
      <c r="E12" s="34">
        <f>COUNTIF($L$8:$L$507,5)</f>
        <v>0</v>
      </c>
      <c r="F12" s="183">
        <f t="shared" si="0"/>
        <v>0</v>
      </c>
      <c r="G12" s="183">
        <f t="shared" si="1"/>
        <v>7.9181246047624818E-2</v>
      </c>
      <c r="H12" s="249" t="str">
        <f t="shared" si="2"/>
        <v>—</v>
      </c>
      <c r="I12" s="34" t="str">
        <f t="shared" si="3"/>
        <v>Need ≥30 obs</v>
      </c>
      <c r="L12" s="34" t="str">
        <f t="shared" si="4"/>
        <v/>
      </c>
    </row>
    <row r="13" spans="1:16" ht="15" customHeight="1" x14ac:dyDescent="0.55000000000000004">
      <c r="B13" s="50">
        <v>6</v>
      </c>
      <c r="C13" s="50">
        <v>6</v>
      </c>
      <c r="D13" s="183">
        <f>LOG10(1+1/6)</f>
        <v>6.6946789630613221E-2</v>
      </c>
      <c r="E13" s="34">
        <f>COUNTIF($L$8:$L$507,6)</f>
        <v>0</v>
      </c>
      <c r="F13" s="183">
        <f t="shared" si="0"/>
        <v>0</v>
      </c>
      <c r="G13" s="183">
        <f t="shared" si="1"/>
        <v>6.6946789630613221E-2</v>
      </c>
      <c r="H13" s="249" t="str">
        <f t="shared" si="2"/>
        <v>—</v>
      </c>
      <c r="I13" s="34" t="str">
        <f t="shared" si="3"/>
        <v>Need ≥30 obs</v>
      </c>
      <c r="L13" s="34" t="str">
        <f t="shared" si="4"/>
        <v/>
      </c>
    </row>
    <row r="14" spans="1:16" ht="15" customHeight="1" x14ac:dyDescent="0.55000000000000004">
      <c r="B14" s="50">
        <v>7</v>
      </c>
      <c r="C14" s="50">
        <v>7</v>
      </c>
      <c r="D14" s="183">
        <f>LOG10(1+1/7)</f>
        <v>5.7991946977686733E-2</v>
      </c>
      <c r="E14" s="34">
        <f>COUNTIF($L$8:$L$507,7)</f>
        <v>0</v>
      </c>
      <c r="F14" s="183">
        <f t="shared" si="0"/>
        <v>0</v>
      </c>
      <c r="G14" s="183">
        <f t="shared" si="1"/>
        <v>5.7991946977686733E-2</v>
      </c>
      <c r="H14" s="249" t="str">
        <f t="shared" si="2"/>
        <v>—</v>
      </c>
      <c r="I14" s="34" t="str">
        <f t="shared" si="3"/>
        <v>Need ≥30 obs</v>
      </c>
      <c r="L14" s="34" t="str">
        <f t="shared" si="4"/>
        <v/>
      </c>
    </row>
    <row r="15" spans="1:16" ht="15" customHeight="1" x14ac:dyDescent="0.55000000000000004">
      <c r="B15" s="50">
        <v>8</v>
      </c>
      <c r="C15" s="50">
        <v>8</v>
      </c>
      <c r="D15" s="183">
        <f>LOG10(1+1/8)</f>
        <v>5.1152522447381291E-2</v>
      </c>
      <c r="E15" s="34">
        <f>COUNTIF($L$8:$L$507,8)</f>
        <v>0</v>
      </c>
      <c r="F15" s="183">
        <f t="shared" si="0"/>
        <v>0</v>
      </c>
      <c r="G15" s="183">
        <f t="shared" si="1"/>
        <v>5.1152522447381291E-2</v>
      </c>
      <c r="H15" s="249" t="str">
        <f t="shared" si="2"/>
        <v>—</v>
      </c>
      <c r="I15" s="34" t="str">
        <f t="shared" si="3"/>
        <v>Need ≥30 obs</v>
      </c>
      <c r="L15" s="34" t="str">
        <f t="shared" si="4"/>
        <v/>
      </c>
    </row>
    <row r="16" spans="1:16" ht="15" customHeight="1" x14ac:dyDescent="0.55000000000000004">
      <c r="B16" s="50">
        <v>9</v>
      </c>
      <c r="C16" s="50">
        <v>9</v>
      </c>
      <c r="D16" s="183">
        <f>LOG10(1+1/9)</f>
        <v>4.5757490560675143E-2</v>
      </c>
      <c r="E16" s="34">
        <f>COUNTIF($L$8:$L$507,9)</f>
        <v>0</v>
      </c>
      <c r="F16" s="183">
        <f t="shared" si="0"/>
        <v>0</v>
      </c>
      <c r="G16" s="183">
        <f t="shared" si="1"/>
        <v>4.5757490560675143E-2</v>
      </c>
      <c r="H16" s="249" t="str">
        <f t="shared" si="2"/>
        <v>—</v>
      </c>
      <c r="I16" s="34" t="str">
        <f t="shared" si="3"/>
        <v>Need ≥30 obs</v>
      </c>
      <c r="L16" s="34" t="str">
        <f t="shared" si="4"/>
        <v/>
      </c>
    </row>
    <row r="17" spans="1:12" ht="15" customHeight="1" x14ac:dyDescent="0.55000000000000004">
      <c r="B17" s="171" t="s">
        <v>1651</v>
      </c>
      <c r="E17" s="250">
        <f>SUM(E8:E16)</f>
        <v>0</v>
      </c>
      <c r="L17" s="34" t="str">
        <f t="shared" si="4"/>
        <v/>
      </c>
    </row>
    <row r="18" spans="1:12" ht="15" customHeight="1" x14ac:dyDescent="0.55000000000000004">
      <c r="B18" t="s">
        <v>1652</v>
      </c>
      <c r="H18" s="251" t="str">
        <f>IFERROR(IF(E17&lt;30,"—",SUMPRODUCT(((E8:E16)-(D8:D16*E17))^2/(D8:D16*E17))),0)</f>
        <v>—</v>
      </c>
      <c r="I18" s="34" t="str">
        <f>IF(E17&lt;30,"Need ≥30 obs",IF(ISNUMBER(H18),IF(H18&gt;20.09,"🔴 FAIL (99%)",IF(H18&gt;15.51,"🟠 FAIL (95%)","🟢 PASS")),"—"))</f>
        <v>Need ≥30 obs</v>
      </c>
      <c r="L18" s="34" t="str">
        <f t="shared" si="4"/>
        <v/>
      </c>
    </row>
    <row r="19" spans="1:12" ht="15" customHeight="1" x14ac:dyDescent="0.55000000000000004">
      <c r="B19" s="252" t="s">
        <v>1653</v>
      </c>
      <c r="I19" s="253" t="str">
        <f>IF(E17&lt;30,"⚠ Need ≥30 obs to test",IF(OR(MAX(H8:H16)&gt;2.58,H18&gt;20.09),"🔴 LIKELY MANIPULATION",IF(OR(MAX(H8:H16)&gt;1.96,H18&gt;15.51),"🟠 SIGNIFICANT DEVIATION",IF(MAX(H8:H16)&gt;1.645,"🟡 BORDERLINE","🟢 NATURAL DISTRIBUTION"))))</f>
        <v>⚠ Need ≥30 obs to test</v>
      </c>
      <c r="L19" s="34" t="str">
        <f t="shared" si="4"/>
        <v/>
      </c>
    </row>
    <row r="20" spans="1:12" ht="15" customHeight="1" x14ac:dyDescent="0.55000000000000004">
      <c r="B20" s="327" t="s">
        <v>1654</v>
      </c>
      <c r="C20" s="327"/>
      <c r="D20" s="327"/>
      <c r="E20" s="327"/>
      <c r="F20" s="327"/>
      <c r="G20" s="327"/>
      <c r="H20" s="327"/>
      <c r="I20" s="327"/>
      <c r="J20" s="327"/>
      <c r="L20" s="34" t="str">
        <f t="shared" si="4"/>
        <v/>
      </c>
    </row>
    <row r="21" spans="1:12" ht="15" customHeight="1" x14ac:dyDescent="0.55000000000000004">
      <c r="L21" s="34" t="str">
        <f t="shared" si="4"/>
        <v/>
      </c>
    </row>
    <row r="22" spans="1:12" ht="15" customHeight="1" x14ac:dyDescent="0.55000000000000004">
      <c r="A22" s="324" t="s">
        <v>1655</v>
      </c>
      <c r="B22" s="324"/>
      <c r="C22" s="324"/>
      <c r="D22" s="324"/>
      <c r="E22" s="324"/>
      <c r="F22" s="324"/>
      <c r="G22" s="324"/>
      <c r="H22" s="324"/>
      <c r="I22" s="324"/>
      <c r="J22" s="324"/>
      <c r="K22" s="324"/>
    </row>
    <row r="23" spans="1:12" ht="31.5" customHeight="1" x14ac:dyDescent="0.55000000000000004">
      <c r="B23" s="342" t="s">
        <v>1656</v>
      </c>
      <c r="C23" s="342"/>
      <c r="D23" s="342"/>
      <c r="E23" s="342"/>
      <c r="F23" s="342"/>
      <c r="G23" s="342"/>
      <c r="H23" s="342"/>
      <c r="I23" s="342"/>
      <c r="J23" s="342"/>
      <c r="K23" s="342"/>
    </row>
    <row r="24" spans="1:12" ht="31.5" customHeight="1" x14ac:dyDescent="0.55000000000000004">
      <c r="B24" s="248" t="s">
        <v>3</v>
      </c>
      <c r="C24" s="248" t="s">
        <v>1657</v>
      </c>
      <c r="D24" s="248" t="s">
        <v>1658</v>
      </c>
      <c r="E24" s="248" t="s">
        <v>1659</v>
      </c>
      <c r="F24" s="248" t="s">
        <v>1660</v>
      </c>
      <c r="G24" s="248" t="s">
        <v>1661</v>
      </c>
      <c r="H24" s="248" t="s">
        <v>1662</v>
      </c>
      <c r="I24" s="248" t="s">
        <v>1615</v>
      </c>
      <c r="J24" s="248" t="s">
        <v>1663</v>
      </c>
      <c r="L24" s="34" t="str">
        <f t="shared" ref="L24:L32" si="5">IF(M24="","",IFERROR(VALUE(LEFT(TEXT(ABS(M24),"0"),1)),""))</f>
        <v/>
      </c>
    </row>
    <row r="25" spans="1:12" ht="15" customHeight="1" x14ac:dyDescent="0.55000000000000004">
      <c r="B25" t="s">
        <v>1664</v>
      </c>
      <c r="C25" s="254" t="str">
        <f>IFERROR(INDEX('8_Performance_Indicators'!C8:N8,1,LatestAudCol),0)</f>
        <v/>
      </c>
      <c r="D25" s="183">
        <f>IFERROR(IF(LatestAudCol&lt;2,"",AVERAGE(INDEX('8_Performance_Indicators'!C8:N8,1,1):INDEX('8_Performance_Indicators'!C8:N8,1,LatestAudCol-1))),0)</f>
        <v>0</v>
      </c>
      <c r="E25" s="183">
        <f>IFERROR(IF(LatestAudCol&lt;3,"",STDEV(INDEX('8_Performance_Indicators'!C8:N8,1,1):INDEX('8_Performance_Indicators'!C8:N8,1,LatestAudCol-1))),0)</f>
        <v>0</v>
      </c>
      <c r="F25" s="34">
        <f t="shared" ref="F25:F30" si="6">MAX(LatestAudCol-1,0)</f>
        <v>3</v>
      </c>
      <c r="G25" s="249" t="str">
        <f t="shared" ref="G25:G30" si="7">IFERROR(IF(OR(F25&lt;3,E25=0,E25=""),"—",(C25-D25)/E25),"—")</f>
        <v>—</v>
      </c>
      <c r="H25" s="34" t="str">
        <f t="shared" ref="H25:H30" si="8">IF(NOT(ISNUMBER(G25)),"—",IF(ABS(G25)&gt;3,"🔴 CRITICAL",IF(ABS(G25)&gt;2,"🟠 WARNING",IF(ABS(G25)&gt;1.5,"🟡 ELEVATED","🟢 NORMAL"))))</f>
        <v>—</v>
      </c>
      <c r="I25" s="34" t="str">
        <f t="shared" ref="I25:I30" si="9">IF(NOT(ISNUMBER(G25)),"—",IF(G25&gt;0,"↑ above hist","↓ below hist"))</f>
        <v>—</v>
      </c>
      <c r="J25" s="173" t="s">
        <v>1665</v>
      </c>
      <c r="L25" s="34" t="str">
        <f t="shared" si="5"/>
        <v/>
      </c>
    </row>
    <row r="26" spans="1:12" ht="15" customHeight="1" x14ac:dyDescent="0.55000000000000004">
      <c r="B26" t="s">
        <v>1666</v>
      </c>
      <c r="C26" s="254">
        <f>IFERROR(INDEX('8_Performance_Indicators'!C9:N9,1,LatestAudCol),0)</f>
        <v>0</v>
      </c>
      <c r="D26" s="183">
        <f>IFERROR(IF(LatestAudCol&lt;2,"",AVERAGE(INDEX('8_Performance_Indicators'!C9:N9,1,1):INDEX('8_Performance_Indicators'!C9:N9,1,LatestAudCol-1))),0)</f>
        <v>0</v>
      </c>
      <c r="E26" s="183">
        <f>IFERROR(IF(LatestAudCol&lt;3,"",STDEV(INDEX('8_Performance_Indicators'!C9:N9,1,1):INDEX('8_Performance_Indicators'!C9:N9,1,LatestAudCol-1))),0)</f>
        <v>0</v>
      </c>
      <c r="F26" s="34">
        <f t="shared" si="6"/>
        <v>3</v>
      </c>
      <c r="G26" s="249" t="str">
        <f t="shared" si="7"/>
        <v>—</v>
      </c>
      <c r="H26" s="34" t="str">
        <f t="shared" si="8"/>
        <v>—</v>
      </c>
      <c r="I26" s="34" t="str">
        <f t="shared" si="9"/>
        <v>—</v>
      </c>
      <c r="J26" s="173" t="s">
        <v>1667</v>
      </c>
      <c r="L26" s="34" t="str">
        <f t="shared" si="5"/>
        <v/>
      </c>
    </row>
    <row r="27" spans="1:12" ht="15" customHeight="1" x14ac:dyDescent="0.55000000000000004">
      <c r="B27" t="s">
        <v>1207</v>
      </c>
      <c r="C27" s="255">
        <f>IFERROR(INDEX('8_Performance_Indicators'!C27:N27,1,LatestAudCol),0)</f>
        <v>0</v>
      </c>
      <c r="D27" s="256">
        <f>IFERROR(IF(LatestAudCol&lt;2,"",AVERAGE(INDEX('8_Performance_Indicators'!C27:N27,1,1):INDEX('8_Performance_Indicators'!C27:N27,1,LatestAudCol-1))),0)</f>
        <v>0</v>
      </c>
      <c r="E27" s="256">
        <f>IFERROR(IF(LatestAudCol&lt;3,"",STDEV(INDEX('8_Performance_Indicators'!C27:N27,1,1):INDEX('8_Performance_Indicators'!C27:N27,1,LatestAudCol-1))),0)</f>
        <v>0</v>
      </c>
      <c r="F27" s="34">
        <f t="shared" si="6"/>
        <v>3</v>
      </c>
      <c r="G27" s="249" t="str">
        <f t="shared" si="7"/>
        <v>—</v>
      </c>
      <c r="H27" s="34" t="str">
        <f t="shared" si="8"/>
        <v>—</v>
      </c>
      <c r="I27" s="34" t="str">
        <f t="shared" si="9"/>
        <v>—</v>
      </c>
      <c r="J27" s="173" t="s">
        <v>1668</v>
      </c>
      <c r="L27" s="34" t="str">
        <f t="shared" si="5"/>
        <v/>
      </c>
    </row>
    <row r="28" spans="1:12" ht="15" customHeight="1" x14ac:dyDescent="0.55000000000000004">
      <c r="B28" t="s">
        <v>549</v>
      </c>
      <c r="C28" s="255">
        <f>IFERROR(INDEX('8_Performance_Indicators'!C28:N28,1,LatestAudCol),0)</f>
        <v>0</v>
      </c>
      <c r="D28" s="256">
        <f>IFERROR(IF(LatestAudCol&lt;2,"",AVERAGE(INDEX('8_Performance_Indicators'!C28:N28,1,1):INDEX('8_Performance_Indicators'!C28:N28,1,LatestAudCol-1))),0)</f>
        <v>0</v>
      </c>
      <c r="E28" s="256">
        <f>IFERROR(IF(LatestAudCol&lt;3,"",STDEV(INDEX('8_Performance_Indicators'!C28:N28,1,1):INDEX('8_Performance_Indicators'!C28:N28,1,LatestAudCol-1))),0)</f>
        <v>0</v>
      </c>
      <c r="F28" s="34">
        <f t="shared" si="6"/>
        <v>3</v>
      </c>
      <c r="G28" s="249" t="str">
        <f t="shared" si="7"/>
        <v>—</v>
      </c>
      <c r="H28" s="34" t="str">
        <f t="shared" si="8"/>
        <v>—</v>
      </c>
      <c r="I28" s="34" t="str">
        <f t="shared" si="9"/>
        <v>—</v>
      </c>
      <c r="J28" s="173" t="s">
        <v>1669</v>
      </c>
      <c r="L28" s="34" t="str">
        <f t="shared" si="5"/>
        <v/>
      </c>
    </row>
    <row r="29" spans="1:12" ht="15" customHeight="1" x14ac:dyDescent="0.55000000000000004">
      <c r="B29" t="s">
        <v>550</v>
      </c>
      <c r="C29" s="255">
        <f>IFERROR(INDEX('8_Performance_Indicators'!C29:N29,1,LatestAudCol),0)</f>
        <v>0</v>
      </c>
      <c r="D29" s="256">
        <f>IFERROR(IF(LatestAudCol&lt;2,"",AVERAGE(INDEX('8_Performance_Indicators'!C29:N29,1,1):INDEX('8_Performance_Indicators'!C29:N29,1,LatestAudCol-1))),0)</f>
        <v>0</v>
      </c>
      <c r="E29" s="256">
        <f>IFERROR(IF(LatestAudCol&lt;3,"",STDEV(INDEX('8_Performance_Indicators'!C29:N29,1,1):INDEX('8_Performance_Indicators'!C29:N29,1,LatestAudCol-1))),0)</f>
        <v>0</v>
      </c>
      <c r="F29" s="34">
        <f t="shared" si="6"/>
        <v>3</v>
      </c>
      <c r="G29" s="249" t="str">
        <f t="shared" si="7"/>
        <v>—</v>
      </c>
      <c r="H29" s="34" t="str">
        <f t="shared" si="8"/>
        <v>—</v>
      </c>
      <c r="I29" s="34" t="str">
        <f t="shared" si="9"/>
        <v>—</v>
      </c>
      <c r="J29" s="173" t="s">
        <v>1670</v>
      </c>
      <c r="L29" s="34" t="str">
        <f t="shared" si="5"/>
        <v/>
      </c>
    </row>
    <row r="30" spans="1:12" ht="15" customHeight="1" x14ac:dyDescent="0.55000000000000004">
      <c r="B30" t="s">
        <v>526</v>
      </c>
      <c r="C30" s="254">
        <f>IFERROR(INDEX('8_Performance_Indicators'!C12:N12,1,LatestAudCol),0)</f>
        <v>0</v>
      </c>
      <c r="D30" s="183">
        <f>IFERROR(IF(LatestAudCol&lt;2,"",AVERAGE(INDEX('8_Performance_Indicators'!C12:N12,1,1):INDEX('8_Performance_Indicators'!C12:N12,1,LatestAudCol-1))),0)</f>
        <v>0</v>
      </c>
      <c r="E30" s="183">
        <f>IFERROR(IF(LatestAudCol&lt;3,"",STDEV(INDEX('8_Performance_Indicators'!C12:N12,1,1):INDEX('8_Performance_Indicators'!C12:N12,1,LatestAudCol-1))),0)</f>
        <v>0</v>
      </c>
      <c r="F30" s="34">
        <f t="shared" si="6"/>
        <v>3</v>
      </c>
      <c r="G30" s="249" t="str">
        <f t="shared" si="7"/>
        <v>—</v>
      </c>
      <c r="H30" s="34" t="str">
        <f t="shared" si="8"/>
        <v>—</v>
      </c>
      <c r="I30" s="34" t="str">
        <f t="shared" si="9"/>
        <v>—</v>
      </c>
      <c r="J30" s="173" t="s">
        <v>1671</v>
      </c>
      <c r="L30" s="34" t="str">
        <f t="shared" si="5"/>
        <v/>
      </c>
    </row>
    <row r="31" spans="1:12" ht="15" customHeight="1" x14ac:dyDescent="0.55000000000000004">
      <c r="B31" s="252" t="s">
        <v>1672</v>
      </c>
      <c r="G31" s="253">
        <f>SUMPRODUCT((IFERROR(ABS(G25:G30),0)&gt;2)*1)</f>
        <v>0</v>
      </c>
      <c r="H31" s="253" t="str">
        <f>IF(G31=0,"🟢 No statistical outliers",IF(SUMPRODUCT((IFERROR(ABS(G25:G30),0)&gt;3)*1)&gt;=1,"🔴 CRITICAL outlier(s) — investigate","🟠 Warning-level outliers — review trend"))</f>
        <v>🟢 No statistical outliers</v>
      </c>
      <c r="L31" s="34" t="str">
        <f t="shared" si="5"/>
        <v/>
      </c>
    </row>
    <row r="32" spans="1:12" ht="15" customHeight="1" x14ac:dyDescent="0.55000000000000004">
      <c r="L32" s="34" t="str">
        <f t="shared" si="5"/>
        <v/>
      </c>
    </row>
    <row r="33" spans="1:12" ht="15" customHeight="1" x14ac:dyDescent="0.55000000000000004">
      <c r="A33" s="324" t="s">
        <v>1673</v>
      </c>
      <c r="B33" s="324"/>
      <c r="C33" s="324"/>
      <c r="D33" s="324"/>
      <c r="E33" s="324"/>
      <c r="F33" s="324"/>
      <c r="G33" s="324"/>
      <c r="H33" s="324"/>
      <c r="I33" s="324"/>
      <c r="J33" s="324"/>
      <c r="K33" s="324"/>
    </row>
    <row r="34" spans="1:12" ht="15" customHeight="1" x14ac:dyDescent="0.55000000000000004">
      <c r="B34" s="327" t="s">
        <v>1674</v>
      </c>
      <c r="C34" s="327"/>
      <c r="D34" s="327"/>
      <c r="E34" s="327"/>
      <c r="F34" s="327"/>
      <c r="G34" s="327"/>
      <c r="H34" s="327"/>
      <c r="I34" s="327"/>
      <c r="J34" s="327"/>
      <c r="K34" s="327"/>
    </row>
    <row r="35" spans="1:12" ht="27.75" customHeight="1" x14ac:dyDescent="0.55000000000000004">
      <c r="B35" s="248" t="s">
        <v>1675</v>
      </c>
      <c r="C35" s="248" t="s">
        <v>1676</v>
      </c>
      <c r="D35" s="248" t="s">
        <v>4</v>
      </c>
      <c r="E35" s="248" t="s">
        <v>1677</v>
      </c>
      <c r="F35" s="248" t="s">
        <v>1678</v>
      </c>
      <c r="G35" s="248" t="s">
        <v>1258</v>
      </c>
      <c r="H35" s="248" t="s">
        <v>1679</v>
      </c>
      <c r="L35" s="34" t="str">
        <f t="shared" ref="L35:L43" si="10">IF(M35="","",IFERROR(VALUE(LEFT(TEXT(ABS(M35),"0"),1)),""))</f>
        <v/>
      </c>
    </row>
    <row r="36" spans="1:12" ht="15" customHeight="1" x14ac:dyDescent="0.55000000000000004">
      <c r="B36" t="s">
        <v>1680</v>
      </c>
      <c r="C36" t="s">
        <v>1681</v>
      </c>
      <c r="D36" s="257">
        <f>IFERROR(((INDEX('2_Operating_Statement'!C58:N58,1,LatestAudCol)/INDEX('2_Operating_Statement'!C58:N58,1,PriorAudCol))-1)-((INDEX('8_Performance_Indicators'!C11:N11,1,LatestAudCol)/INDEX('8_Performance_Indicators'!C11:N11,1,PriorAudCol))-1),0)</f>
        <v>0</v>
      </c>
      <c r="E36" s="50" t="s">
        <v>198</v>
      </c>
      <c r="F36" t="str">
        <f>IF(D36&gt;0.1,"PAT outpacing cash",IF(D36&lt;-0.1,"Cash outpacing PAT","Aligned"))</f>
        <v>Aligned</v>
      </c>
      <c r="G36" s="258" t="str">
        <f>IF(D36&gt;0.2,"🔴 STRONG MANIP signal",IF(D36&gt;0.1,"🟠 WATCH","🟢 OK"))</f>
        <v>🟢 OK</v>
      </c>
      <c r="H36" t="s">
        <v>1682</v>
      </c>
      <c r="L36" s="34" t="str">
        <f t="shared" si="10"/>
        <v/>
      </c>
    </row>
    <row r="37" spans="1:12" ht="15" customHeight="1" x14ac:dyDescent="0.55000000000000004">
      <c r="B37" t="s">
        <v>1683</v>
      </c>
      <c r="C37" t="s">
        <v>1684</v>
      </c>
      <c r="D37" s="259">
        <f>IFERROR(INDEX('8_Performance_Indicators'!C28:N28,1,LatestAudCol)/INDEX('8_Performance_Indicators'!C28:N28,1,PriorAudCol),0)</f>
        <v>0</v>
      </c>
      <c r="E37" s="260">
        <v>1</v>
      </c>
      <c r="F37" t="str">
        <f>IF(D37&gt;1.5,"Receivables ballooning",IF(D37&gt;1.2,"Stretching","Stable"))</f>
        <v>Stable</v>
      </c>
      <c r="G37" s="258" t="str">
        <f>IF(D37&gt;1.6,"🔴 STRONG MANIP signal",IF(D37&gt;1.3,"🟠 WATCH","🟢 OK"))</f>
        <v>🟢 OK</v>
      </c>
      <c r="H37" t="s">
        <v>1685</v>
      </c>
      <c r="L37" s="34" t="str">
        <f t="shared" si="10"/>
        <v/>
      </c>
    </row>
    <row r="38" spans="1:12" ht="15" customHeight="1" x14ac:dyDescent="0.55000000000000004">
      <c r="B38" t="s">
        <v>1686</v>
      </c>
      <c r="C38" t="s">
        <v>1687</v>
      </c>
      <c r="D38" s="257">
        <f>IFERROR((INDEX('2_Operating_Statement'!C58:N58,1,LatestAudCol)-INDEX('8_Performance_Indicators'!C11:N11,1,LatestAudCol))/INDEX('3_Balance_Sheet'!C108:N108,1,LatestAudCol),0)</f>
        <v>0</v>
      </c>
      <c r="E38" s="257">
        <f>IFERROR((INDEX('2_Operating_Statement'!C58:N58,1,PriorAudCol)-INDEX('8_Performance_Indicators'!C11:N11,1,PriorAudCol))/INDEX('3_Balance_Sheet'!C108:N108,1,PriorAudCol),0)</f>
        <v>0</v>
      </c>
      <c r="F38" t="str">
        <f>IF(D38&gt;0.1,"High accruals",IF(D38&gt;0.05,"Moderate","Conservative"))</f>
        <v>Conservative</v>
      </c>
      <c r="G38" s="258" t="str">
        <f>IF(D38&gt;0.15,"🔴 STRONG MANIP signal",IF(D38&gt;0.08,"🟠 WATCH","🟢 OK"))</f>
        <v>🟢 OK</v>
      </c>
      <c r="H38" t="s">
        <v>1688</v>
      </c>
      <c r="L38" s="34" t="str">
        <f t="shared" si="10"/>
        <v/>
      </c>
    </row>
    <row r="39" spans="1:12" ht="15" customHeight="1" x14ac:dyDescent="0.55000000000000004">
      <c r="B39" t="s">
        <v>1689</v>
      </c>
      <c r="C39" t="s">
        <v>1690</v>
      </c>
      <c r="D39" s="257">
        <f>IFERROR(((INDEX('3_Balance_Sheet'!C102:N102,1,LatestAudCol)/INDEX('3_Balance_Sheet'!C102:N102,1,PriorAudCol))-1)-((INDEX('2_Operating_Statement'!C13:N13,1,LatestAudCol)/INDEX('2_Operating_Statement'!C13:N13,1,PriorAudCol))-1),0)</f>
        <v>0</v>
      </c>
      <c r="E39" s="50" t="s">
        <v>198</v>
      </c>
      <c r="F39" t="str">
        <f>IF(D39&gt;0.15,"Capex/NCA outpacing sales",IF(D39&gt;0.05,"Mild divergence","Aligned"))</f>
        <v>Aligned</v>
      </c>
      <c r="G39" s="258" t="str">
        <f>IF(D39&gt;0.25,"🔴 STRONG MANIP signal",IF(D39&gt;0.15,"🟠 WATCH","🟢 OK"))</f>
        <v>🟢 OK</v>
      </c>
      <c r="H39" t="s">
        <v>1691</v>
      </c>
      <c r="L39" s="34" t="str">
        <f t="shared" si="10"/>
        <v/>
      </c>
    </row>
    <row r="40" spans="1:12" ht="15" customHeight="1" x14ac:dyDescent="0.55000000000000004">
      <c r="B40" t="s">
        <v>1692</v>
      </c>
      <c r="C40" t="s">
        <v>1693</v>
      </c>
      <c r="D40" s="257">
        <f>IFERROR(((INDEX('2_Operating_Statement'!C32:N32,1,LatestAudCol)/INDEX('2_Operating_Statement'!C32:N32,1,PriorAudCol))-1)-((INDEX('2_Operating_Statement'!C13:N13,1,LatestAudCol)/INDEX('2_Operating_Statement'!C13:N13,1,PriorAudCol))-1),0)</f>
        <v>0</v>
      </c>
      <c r="E40" s="50" t="s">
        <v>198</v>
      </c>
      <c r="F40" t="str">
        <f>IF(D40&gt;0.1,"SGA growing faster than sales",IF(D40&lt;-0.1,"Cost discipline","Aligned"))</f>
        <v>Aligned</v>
      </c>
      <c r="G40" s="258" t="str">
        <f>IF(D40&gt;0.2,"🟠 WATCH (op leverage erosion)","🟢 OK")</f>
        <v>🟢 OK</v>
      </c>
      <c r="H40" t="s">
        <v>1694</v>
      </c>
      <c r="L40" s="34" t="str">
        <f t="shared" si="10"/>
        <v/>
      </c>
    </row>
    <row r="41" spans="1:12" ht="15" customHeight="1" x14ac:dyDescent="0.55000000000000004">
      <c r="L41" s="34" t="str">
        <f t="shared" si="10"/>
        <v/>
      </c>
    </row>
    <row r="42" spans="1:12" ht="15" customHeight="1" x14ac:dyDescent="0.55000000000000004">
      <c r="B42" s="252" t="s">
        <v>1695</v>
      </c>
      <c r="D42" s="261" t="s">
        <v>1696</v>
      </c>
      <c r="F42" s="258">
        <f>COUNTIF(G36:G40,"🔴*")</f>
        <v>0</v>
      </c>
      <c r="G42" s="343" t="str">
        <f>IF(F42&gt;=3,"🔴 HIGH probability of earnings manipulation",IF(F42&gt;=2,"🟠 MODERATE probability — investigate",IF(F42&gt;=1,"🟡 ISOLATED signal — monitor","🟢 No manipulation signature detected")))</f>
        <v>🟢 No manipulation signature detected</v>
      </c>
      <c r="H42" s="343"/>
      <c r="L42" s="34" t="str">
        <f t="shared" si="10"/>
        <v/>
      </c>
    </row>
    <row r="43" spans="1:12" ht="15" customHeight="1" x14ac:dyDescent="0.55000000000000004">
      <c r="L43" s="34" t="str">
        <f t="shared" si="10"/>
        <v/>
      </c>
    </row>
    <row r="44" spans="1:12" ht="15" customHeight="1" x14ac:dyDescent="0.55000000000000004">
      <c r="A44" s="324" t="s">
        <v>1697</v>
      </c>
      <c r="B44" s="324"/>
      <c r="C44" s="324"/>
      <c r="D44" s="324"/>
      <c r="E44" s="324"/>
      <c r="F44" s="324"/>
      <c r="G44" s="324"/>
      <c r="H44" s="324"/>
      <c r="I44" s="324"/>
      <c r="J44" s="324"/>
      <c r="K44" s="324"/>
    </row>
    <row r="45" spans="1:12" ht="15" customHeight="1" x14ac:dyDescent="0.55000000000000004">
      <c r="B45" s="230" t="s">
        <v>1698</v>
      </c>
      <c r="C45" s="230" t="s">
        <v>1258</v>
      </c>
      <c r="D45" s="230" t="s">
        <v>1377</v>
      </c>
      <c r="E45" s="230" t="s">
        <v>1699</v>
      </c>
      <c r="L45" s="34" t="str">
        <f>IF(M45="","",IFERROR(VALUE(LEFT(TEXT(ABS(M45),"0"),1)),""))</f>
        <v/>
      </c>
    </row>
    <row r="46" spans="1:12" ht="15" customHeight="1" x14ac:dyDescent="0.55000000000000004">
      <c r="B46" t="s">
        <v>1700</v>
      </c>
      <c r="C46" s="34" t="str">
        <f>I19</f>
        <v>⚠ Need ≥30 obs to test</v>
      </c>
      <c r="D46" s="34" t="str">
        <f>IF(LEFT(I19,1)="🔴","Critical",IF(LEFT(I19,1)="🟠","High",IF(LEFT(I19,1)="🟡","Medium","Low")))</f>
        <v>Low</v>
      </c>
      <c r="E46" s="344" t="str">
        <f>"Sample N="&amp;E17&amp;"; Max Z="&amp;IFERROR(TEXT(MAX(H8:H16),"0.00"),"—")&amp;"; Chi²="&amp;IFERROR(TEXT(H18,"0.00"),"—")</f>
        <v>Sample N=0; Max Z=0.00; Chi²=—</v>
      </c>
      <c r="F46" s="344"/>
      <c r="G46" s="344"/>
      <c r="H46" s="344"/>
      <c r="I46" s="344"/>
      <c r="J46" s="344"/>
      <c r="K46" s="344"/>
    </row>
    <row r="47" spans="1:12" ht="15" customHeight="1" x14ac:dyDescent="0.55000000000000004">
      <c r="B47" t="s">
        <v>1701</v>
      </c>
      <c r="C47" s="34" t="str">
        <f>H31</f>
        <v>🟢 No statistical outliers</v>
      </c>
      <c r="D47" s="34" t="str">
        <f>IF(LEFT(H31,1)="🔴","Critical",IF(LEFT(H31,1)="🟠","High",IF(LEFT(H31,1)="🟡","Medium","Low")))</f>
        <v>Low</v>
      </c>
      <c r="E47" s="344" t="str">
        <f>"Anomalies (|Z|&gt;2): "&amp;G31&amp;" of 6 metrics; Critical (|Z|&gt;3): "&amp;SUMPRODUCT((IFERROR(ABS(G25:G30),0)&gt;3)*1)</f>
        <v>Anomalies (|Z|&gt;2): 0 of 6 metrics; Critical (|Z|&gt;3): 0</v>
      </c>
      <c r="F47" s="344"/>
      <c r="G47" s="344"/>
      <c r="H47" s="344"/>
      <c r="I47" s="344"/>
      <c r="J47" s="344"/>
      <c r="K47" s="344"/>
    </row>
    <row r="48" spans="1:12" ht="15" customHeight="1" x14ac:dyDescent="0.55000000000000004">
      <c r="B48" t="s">
        <v>66</v>
      </c>
      <c r="C48" s="345" t="str">
        <f>G42</f>
        <v>🟢 No manipulation signature detected</v>
      </c>
      <c r="D48" s="345"/>
      <c r="E48" s="344" t="str">
        <f>"Strong signals: "&amp;F42&amp;" of 5 indicators"</f>
        <v>Strong signals: 0 of 5 indicators</v>
      </c>
      <c r="F48" s="344"/>
      <c r="G48" s="344"/>
      <c r="H48" s="344"/>
      <c r="I48" s="344"/>
      <c r="J48" s="344"/>
      <c r="K48" s="344"/>
    </row>
    <row r="49" spans="1:12" ht="30" customHeight="1" x14ac:dyDescent="0.55000000000000004">
      <c r="B49" s="262" t="s">
        <v>1702</v>
      </c>
      <c r="C49" s="346" t="str">
        <f>IF(OR(LEFT(I19,1)="🔴",LEFT(H31,1)="🔴",LEFT(G42,1)="🔴"),"🔴 CRITICAL — At least one engine flagged severe anomaly. Mandatory forensic review.",IF(OR(LEFT(I19,1)="🟠",LEFT(H31,1)="🟠",LEFT(G42,1)="🟠"),"🟠 HIGH — Statistical irregularities detected. Enhanced due diligence required.",IF(OR(LEFT(I19,1)="🟡",LEFT(H31,1)="🟡",LEFT(G42,1)="🟡"),"🟡 ELEVATED — Borderline patterns. Document and monitor.","🟢 NORMAL — No statistical anomalies across all three engines.")))</f>
        <v>🟢 NORMAL — No statistical anomalies across all three engines.</v>
      </c>
      <c r="D49" s="346"/>
      <c r="E49" s="346"/>
      <c r="F49" s="346"/>
      <c r="G49" s="346"/>
      <c r="H49" s="346"/>
      <c r="I49" s="346"/>
      <c r="J49" s="346"/>
      <c r="K49" s="346"/>
    </row>
    <row r="50" spans="1:12" ht="15" customHeight="1" x14ac:dyDescent="0.55000000000000004">
      <c r="L50" s="34" t="str">
        <f>IF(M50="","",IFERROR(VALUE(LEFT(TEXT(ABS(M50),"0"),1)),""))</f>
        <v/>
      </c>
    </row>
    <row r="51" spans="1:12" ht="15" customHeight="1" x14ac:dyDescent="0.55000000000000004">
      <c r="A51" s="324" t="s">
        <v>1703</v>
      </c>
      <c r="B51" s="324"/>
      <c r="C51" s="324"/>
      <c r="D51" s="324"/>
      <c r="E51" s="324"/>
      <c r="F51" s="324"/>
      <c r="G51" s="324"/>
      <c r="H51" s="324"/>
      <c r="I51" s="324"/>
      <c r="J51" s="324"/>
      <c r="K51" s="324"/>
    </row>
    <row r="52" spans="1:12" ht="18" customHeight="1" x14ac:dyDescent="0.55000000000000004">
      <c r="B52" s="325" t="s">
        <v>1704</v>
      </c>
      <c r="C52" s="325"/>
      <c r="D52" s="325"/>
      <c r="E52" s="325"/>
      <c r="F52" s="325"/>
      <c r="G52" s="325"/>
      <c r="H52" s="325"/>
      <c r="I52" s="325"/>
      <c r="J52" s="325"/>
      <c r="K52" s="325"/>
    </row>
    <row r="53" spans="1:12" ht="15" customHeight="1" x14ac:dyDescent="0.55000000000000004">
      <c r="L53" s="34" t="str">
        <f>IF(M53="","",IFERROR(VALUE(LEFT(TEXT(ABS(M53),"0"),1)),""))</f>
        <v/>
      </c>
    </row>
    <row r="54" spans="1:12" ht="18" customHeight="1" x14ac:dyDescent="0.55000000000000004">
      <c r="B54" s="325" t="s">
        <v>1705</v>
      </c>
      <c r="C54" s="325"/>
      <c r="D54" s="325"/>
      <c r="E54" s="325"/>
      <c r="F54" s="325"/>
      <c r="G54" s="325"/>
      <c r="H54" s="325"/>
      <c r="I54" s="325"/>
      <c r="J54" s="325"/>
      <c r="K54" s="325"/>
    </row>
    <row r="55" spans="1:12" ht="18" customHeight="1" x14ac:dyDescent="0.55000000000000004">
      <c r="B55" s="325" t="s">
        <v>1706</v>
      </c>
      <c r="C55" s="325"/>
      <c r="D55" s="325"/>
      <c r="E55" s="325"/>
      <c r="F55" s="325"/>
      <c r="G55" s="325"/>
      <c r="H55" s="325"/>
      <c r="I55" s="325"/>
      <c r="J55" s="325"/>
      <c r="K55" s="325"/>
    </row>
    <row r="56" spans="1:12" ht="30" customHeight="1" x14ac:dyDescent="0.55000000000000004">
      <c r="B56" s="325" t="s">
        <v>1707</v>
      </c>
      <c r="C56" s="325"/>
      <c r="D56" s="325"/>
      <c r="E56" s="325"/>
      <c r="F56" s="325"/>
      <c r="G56" s="325"/>
      <c r="H56" s="325"/>
      <c r="I56" s="325"/>
      <c r="J56" s="325"/>
      <c r="K56" s="325"/>
    </row>
    <row r="57" spans="1:12" ht="30" customHeight="1" x14ac:dyDescent="0.55000000000000004">
      <c r="B57" s="325" t="s">
        <v>1708</v>
      </c>
      <c r="C57" s="325"/>
      <c r="D57" s="325"/>
      <c r="E57" s="325"/>
      <c r="F57" s="325"/>
      <c r="G57" s="325"/>
      <c r="H57" s="325"/>
      <c r="I57" s="325"/>
      <c r="J57" s="325"/>
      <c r="K57" s="325"/>
    </row>
    <row r="58" spans="1:12" ht="18" customHeight="1" x14ac:dyDescent="0.55000000000000004">
      <c r="B58" s="325" t="s">
        <v>1709</v>
      </c>
      <c r="C58" s="325"/>
      <c r="D58" s="325"/>
      <c r="E58" s="325"/>
      <c r="F58" s="325"/>
      <c r="G58" s="325"/>
      <c r="H58" s="325"/>
      <c r="I58" s="325"/>
      <c r="J58" s="325"/>
      <c r="K58" s="325"/>
    </row>
    <row r="59" spans="1:12" ht="18" customHeight="1" x14ac:dyDescent="0.55000000000000004">
      <c r="B59" s="325" t="s">
        <v>1710</v>
      </c>
      <c r="C59" s="325"/>
      <c r="D59" s="325"/>
      <c r="E59" s="325"/>
      <c r="F59" s="325"/>
      <c r="G59" s="325"/>
      <c r="H59" s="325"/>
      <c r="I59" s="325"/>
      <c r="J59" s="325"/>
      <c r="K59" s="325"/>
    </row>
    <row r="60" spans="1:12" ht="18" customHeight="1" x14ac:dyDescent="0.55000000000000004">
      <c r="B60" s="325" t="s">
        <v>1711</v>
      </c>
      <c r="C60" s="325"/>
      <c r="D60" s="325"/>
      <c r="E60" s="325"/>
      <c r="F60" s="325"/>
      <c r="G60" s="325"/>
      <c r="H60" s="325"/>
      <c r="I60" s="325"/>
      <c r="J60" s="325"/>
      <c r="K60" s="325"/>
    </row>
    <row r="61" spans="1:12" ht="30" customHeight="1" x14ac:dyDescent="0.55000000000000004">
      <c r="B61" s="325" t="s">
        <v>1712</v>
      </c>
      <c r="C61" s="325"/>
      <c r="D61" s="325"/>
      <c r="E61" s="325"/>
      <c r="F61" s="325"/>
      <c r="G61" s="325"/>
      <c r="H61" s="325"/>
      <c r="I61" s="325"/>
      <c r="J61" s="325"/>
      <c r="K61" s="325"/>
    </row>
    <row r="62" spans="1:12" ht="15" customHeight="1" x14ac:dyDescent="0.55000000000000004">
      <c r="L62" s="34" t="str">
        <f>IF(M62="","",IFERROR(VALUE(LEFT(TEXT(ABS(M62),"0"),1)),""))</f>
        <v/>
      </c>
    </row>
    <row r="63" spans="1:12" ht="30" customHeight="1" x14ac:dyDescent="0.55000000000000004">
      <c r="B63" s="325" t="s">
        <v>1713</v>
      </c>
      <c r="C63" s="325"/>
      <c r="D63" s="325"/>
      <c r="E63" s="325"/>
      <c r="F63" s="325"/>
      <c r="G63" s="325"/>
      <c r="H63" s="325"/>
      <c r="I63" s="325"/>
      <c r="J63" s="325"/>
      <c r="K63" s="325"/>
    </row>
    <row r="64" spans="1:12" ht="15" customHeight="1" x14ac:dyDescent="0.55000000000000004">
      <c r="L64" s="34" t="str">
        <f t="shared" ref="L64:L127" si="11">IF(M64="","",IFERROR(VALUE(LEFT(TEXT(ABS(M64),"0"),1)),""))</f>
        <v/>
      </c>
    </row>
    <row r="65" spans="12:12" ht="15" customHeight="1" x14ac:dyDescent="0.55000000000000004">
      <c r="L65" s="34" t="str">
        <f t="shared" si="11"/>
        <v/>
      </c>
    </row>
    <row r="66" spans="12:12" ht="15" customHeight="1" x14ac:dyDescent="0.55000000000000004">
      <c r="L66" s="34" t="str">
        <f t="shared" si="11"/>
        <v/>
      </c>
    </row>
    <row r="67" spans="12:12" ht="15" customHeight="1" x14ac:dyDescent="0.55000000000000004">
      <c r="L67" s="34" t="str">
        <f t="shared" si="11"/>
        <v/>
      </c>
    </row>
    <row r="68" spans="12:12" ht="15" customHeight="1" x14ac:dyDescent="0.55000000000000004">
      <c r="L68" s="34" t="str">
        <f t="shared" si="11"/>
        <v/>
      </c>
    </row>
    <row r="69" spans="12:12" ht="15" customHeight="1" x14ac:dyDescent="0.55000000000000004">
      <c r="L69" s="34" t="str">
        <f t="shared" si="11"/>
        <v/>
      </c>
    </row>
    <row r="70" spans="12:12" ht="15" customHeight="1" x14ac:dyDescent="0.55000000000000004">
      <c r="L70" s="34" t="str">
        <f t="shared" si="11"/>
        <v/>
      </c>
    </row>
    <row r="71" spans="12:12" ht="15" customHeight="1" x14ac:dyDescent="0.55000000000000004">
      <c r="L71" s="34" t="str">
        <f t="shared" si="11"/>
        <v/>
      </c>
    </row>
    <row r="72" spans="12:12" ht="15" customHeight="1" x14ac:dyDescent="0.55000000000000004">
      <c r="L72" s="34" t="str">
        <f t="shared" si="11"/>
        <v/>
      </c>
    </row>
    <row r="73" spans="12:12" ht="15" customHeight="1" x14ac:dyDescent="0.55000000000000004">
      <c r="L73" s="34" t="str">
        <f t="shared" si="11"/>
        <v/>
      </c>
    </row>
    <row r="74" spans="12:12" ht="15" customHeight="1" x14ac:dyDescent="0.55000000000000004">
      <c r="L74" s="34" t="str">
        <f t="shared" si="11"/>
        <v/>
      </c>
    </row>
    <row r="75" spans="12:12" ht="15" customHeight="1" x14ac:dyDescent="0.55000000000000004">
      <c r="L75" s="34" t="str">
        <f t="shared" si="11"/>
        <v/>
      </c>
    </row>
    <row r="76" spans="12:12" ht="15" customHeight="1" x14ac:dyDescent="0.55000000000000004">
      <c r="L76" s="34" t="str">
        <f t="shared" si="11"/>
        <v/>
      </c>
    </row>
    <row r="77" spans="12:12" ht="15" customHeight="1" x14ac:dyDescent="0.55000000000000004">
      <c r="L77" s="34" t="str">
        <f t="shared" si="11"/>
        <v/>
      </c>
    </row>
    <row r="78" spans="12:12" ht="15" customHeight="1" x14ac:dyDescent="0.55000000000000004">
      <c r="L78" s="34" t="str">
        <f t="shared" si="11"/>
        <v/>
      </c>
    </row>
    <row r="79" spans="12:12" ht="15" customHeight="1" x14ac:dyDescent="0.55000000000000004">
      <c r="L79" s="34" t="str">
        <f t="shared" si="11"/>
        <v/>
      </c>
    </row>
    <row r="80" spans="12:12" ht="15" customHeight="1" x14ac:dyDescent="0.55000000000000004">
      <c r="L80" s="34" t="str">
        <f t="shared" si="11"/>
        <v/>
      </c>
    </row>
    <row r="81" spans="12:12" ht="15" customHeight="1" x14ac:dyDescent="0.55000000000000004">
      <c r="L81" s="34" t="str">
        <f t="shared" si="11"/>
        <v/>
      </c>
    </row>
    <row r="82" spans="12:12" ht="15" customHeight="1" x14ac:dyDescent="0.55000000000000004">
      <c r="L82" s="34" t="str">
        <f t="shared" si="11"/>
        <v/>
      </c>
    </row>
    <row r="83" spans="12:12" ht="15" customHeight="1" x14ac:dyDescent="0.55000000000000004">
      <c r="L83" s="34" t="str">
        <f t="shared" si="11"/>
        <v/>
      </c>
    </row>
    <row r="84" spans="12:12" ht="15" customHeight="1" x14ac:dyDescent="0.55000000000000004">
      <c r="L84" s="34" t="str">
        <f t="shared" si="11"/>
        <v/>
      </c>
    </row>
    <row r="85" spans="12:12" ht="15" customHeight="1" x14ac:dyDescent="0.55000000000000004">
      <c r="L85" s="34" t="str">
        <f t="shared" si="11"/>
        <v/>
      </c>
    </row>
    <row r="86" spans="12:12" ht="15" customHeight="1" x14ac:dyDescent="0.55000000000000004">
      <c r="L86" s="34" t="str">
        <f t="shared" si="11"/>
        <v/>
      </c>
    </row>
    <row r="87" spans="12:12" ht="15" customHeight="1" x14ac:dyDescent="0.55000000000000004">
      <c r="L87" s="34" t="str">
        <f t="shared" si="11"/>
        <v/>
      </c>
    </row>
    <row r="88" spans="12:12" ht="15" customHeight="1" x14ac:dyDescent="0.55000000000000004">
      <c r="L88" s="34" t="str">
        <f t="shared" si="11"/>
        <v/>
      </c>
    </row>
    <row r="89" spans="12:12" ht="15" customHeight="1" x14ac:dyDescent="0.55000000000000004">
      <c r="L89" s="34" t="str">
        <f t="shared" si="11"/>
        <v/>
      </c>
    </row>
    <row r="90" spans="12:12" ht="15" customHeight="1" x14ac:dyDescent="0.55000000000000004">
      <c r="L90" s="34" t="str">
        <f t="shared" si="11"/>
        <v/>
      </c>
    </row>
    <row r="91" spans="12:12" ht="15" customHeight="1" x14ac:dyDescent="0.55000000000000004">
      <c r="L91" s="34" t="str">
        <f t="shared" si="11"/>
        <v/>
      </c>
    </row>
    <row r="92" spans="12:12" ht="15" customHeight="1" x14ac:dyDescent="0.55000000000000004">
      <c r="L92" s="34" t="str">
        <f t="shared" si="11"/>
        <v/>
      </c>
    </row>
    <row r="93" spans="12:12" ht="15" customHeight="1" x14ac:dyDescent="0.55000000000000004">
      <c r="L93" s="34" t="str">
        <f t="shared" si="11"/>
        <v/>
      </c>
    </row>
    <row r="94" spans="12:12" ht="15" customHeight="1" x14ac:dyDescent="0.55000000000000004">
      <c r="L94" s="34" t="str">
        <f t="shared" si="11"/>
        <v/>
      </c>
    </row>
    <row r="95" spans="12:12" ht="15" customHeight="1" x14ac:dyDescent="0.55000000000000004">
      <c r="L95" s="34" t="str">
        <f t="shared" si="11"/>
        <v/>
      </c>
    </row>
    <row r="96" spans="12:12" ht="15" customHeight="1" x14ac:dyDescent="0.55000000000000004">
      <c r="L96" s="34" t="str">
        <f t="shared" si="11"/>
        <v/>
      </c>
    </row>
    <row r="97" spans="12:12" ht="15" customHeight="1" x14ac:dyDescent="0.55000000000000004">
      <c r="L97" s="34" t="str">
        <f t="shared" si="11"/>
        <v/>
      </c>
    </row>
    <row r="98" spans="12:12" ht="15" customHeight="1" x14ac:dyDescent="0.55000000000000004">
      <c r="L98" s="34" t="str">
        <f t="shared" si="11"/>
        <v/>
      </c>
    </row>
    <row r="99" spans="12:12" ht="15" customHeight="1" x14ac:dyDescent="0.55000000000000004">
      <c r="L99" s="34" t="str">
        <f t="shared" si="11"/>
        <v/>
      </c>
    </row>
    <row r="100" spans="12:12" ht="15" customHeight="1" x14ac:dyDescent="0.55000000000000004">
      <c r="L100" s="34" t="str">
        <f t="shared" si="11"/>
        <v/>
      </c>
    </row>
    <row r="101" spans="12:12" ht="15" customHeight="1" x14ac:dyDescent="0.55000000000000004">
      <c r="L101" s="34" t="str">
        <f t="shared" si="11"/>
        <v/>
      </c>
    </row>
    <row r="102" spans="12:12" ht="15" customHeight="1" x14ac:dyDescent="0.55000000000000004">
      <c r="L102" s="34" t="str">
        <f t="shared" si="11"/>
        <v/>
      </c>
    </row>
    <row r="103" spans="12:12" ht="15" customHeight="1" x14ac:dyDescent="0.55000000000000004">
      <c r="L103" s="34" t="str">
        <f t="shared" si="11"/>
        <v/>
      </c>
    </row>
    <row r="104" spans="12:12" ht="15" customHeight="1" x14ac:dyDescent="0.55000000000000004">
      <c r="L104" s="34" t="str">
        <f t="shared" si="11"/>
        <v/>
      </c>
    </row>
    <row r="105" spans="12:12" ht="15" customHeight="1" x14ac:dyDescent="0.55000000000000004">
      <c r="L105" s="34" t="str">
        <f t="shared" si="11"/>
        <v/>
      </c>
    </row>
    <row r="106" spans="12:12" ht="15" customHeight="1" x14ac:dyDescent="0.55000000000000004">
      <c r="L106" s="34" t="str">
        <f t="shared" si="11"/>
        <v/>
      </c>
    </row>
    <row r="107" spans="12:12" ht="15" customHeight="1" x14ac:dyDescent="0.55000000000000004">
      <c r="L107" s="34" t="str">
        <f t="shared" si="11"/>
        <v/>
      </c>
    </row>
    <row r="108" spans="12:12" ht="15" customHeight="1" x14ac:dyDescent="0.55000000000000004">
      <c r="L108" s="34" t="str">
        <f t="shared" si="11"/>
        <v/>
      </c>
    </row>
    <row r="109" spans="12:12" ht="15" customHeight="1" x14ac:dyDescent="0.55000000000000004">
      <c r="L109" s="34" t="str">
        <f t="shared" si="11"/>
        <v/>
      </c>
    </row>
    <row r="110" spans="12:12" ht="15" customHeight="1" x14ac:dyDescent="0.55000000000000004">
      <c r="L110" s="34" t="str">
        <f t="shared" si="11"/>
        <v/>
      </c>
    </row>
    <row r="111" spans="12:12" ht="15" customHeight="1" x14ac:dyDescent="0.55000000000000004">
      <c r="L111" s="34" t="str">
        <f t="shared" si="11"/>
        <v/>
      </c>
    </row>
    <row r="112" spans="12:12" ht="15" customHeight="1" x14ac:dyDescent="0.55000000000000004">
      <c r="L112" s="34" t="str">
        <f t="shared" si="11"/>
        <v/>
      </c>
    </row>
    <row r="113" spans="12:12" ht="15" customHeight="1" x14ac:dyDescent="0.55000000000000004">
      <c r="L113" s="34" t="str">
        <f t="shared" si="11"/>
        <v/>
      </c>
    </row>
    <row r="114" spans="12:12" ht="15" customHeight="1" x14ac:dyDescent="0.55000000000000004">
      <c r="L114" s="34" t="str">
        <f t="shared" si="11"/>
        <v/>
      </c>
    </row>
    <row r="115" spans="12:12" ht="15" customHeight="1" x14ac:dyDescent="0.55000000000000004">
      <c r="L115" s="34" t="str">
        <f t="shared" si="11"/>
        <v/>
      </c>
    </row>
    <row r="116" spans="12:12" ht="15" customHeight="1" x14ac:dyDescent="0.55000000000000004">
      <c r="L116" s="34" t="str">
        <f t="shared" si="11"/>
        <v/>
      </c>
    </row>
    <row r="117" spans="12:12" ht="15" customHeight="1" x14ac:dyDescent="0.55000000000000004">
      <c r="L117" s="34" t="str">
        <f t="shared" si="11"/>
        <v/>
      </c>
    </row>
    <row r="118" spans="12:12" ht="15" customHeight="1" x14ac:dyDescent="0.55000000000000004">
      <c r="L118" s="34" t="str">
        <f t="shared" si="11"/>
        <v/>
      </c>
    </row>
    <row r="119" spans="12:12" ht="15" customHeight="1" x14ac:dyDescent="0.55000000000000004">
      <c r="L119" s="34" t="str">
        <f t="shared" si="11"/>
        <v/>
      </c>
    </row>
    <row r="120" spans="12:12" ht="15" customHeight="1" x14ac:dyDescent="0.55000000000000004">
      <c r="L120" s="34" t="str">
        <f t="shared" si="11"/>
        <v/>
      </c>
    </row>
    <row r="121" spans="12:12" ht="15" customHeight="1" x14ac:dyDescent="0.55000000000000004">
      <c r="L121" s="34" t="str">
        <f t="shared" si="11"/>
        <v/>
      </c>
    </row>
    <row r="122" spans="12:12" ht="15" customHeight="1" x14ac:dyDescent="0.55000000000000004">
      <c r="L122" s="34" t="str">
        <f t="shared" si="11"/>
        <v/>
      </c>
    </row>
    <row r="123" spans="12:12" ht="15" customHeight="1" x14ac:dyDescent="0.55000000000000004">
      <c r="L123" s="34" t="str">
        <f t="shared" si="11"/>
        <v/>
      </c>
    </row>
    <row r="124" spans="12:12" ht="15" customHeight="1" x14ac:dyDescent="0.55000000000000004">
      <c r="L124" s="34" t="str">
        <f t="shared" si="11"/>
        <v/>
      </c>
    </row>
    <row r="125" spans="12:12" ht="15" customHeight="1" x14ac:dyDescent="0.55000000000000004">
      <c r="L125" s="34" t="str">
        <f t="shared" si="11"/>
        <v/>
      </c>
    </row>
    <row r="126" spans="12:12" ht="15" customHeight="1" x14ac:dyDescent="0.55000000000000004">
      <c r="L126" s="34" t="str">
        <f t="shared" si="11"/>
        <v/>
      </c>
    </row>
    <row r="127" spans="12:12" ht="15" customHeight="1" x14ac:dyDescent="0.55000000000000004">
      <c r="L127" s="34" t="str">
        <f t="shared" si="11"/>
        <v/>
      </c>
    </row>
    <row r="128" spans="12:12" ht="15" customHeight="1" x14ac:dyDescent="0.55000000000000004">
      <c r="L128" s="34" t="str">
        <f t="shared" ref="L128:L191" si="12">IF(M128="","",IFERROR(VALUE(LEFT(TEXT(ABS(M128),"0"),1)),""))</f>
        <v/>
      </c>
    </row>
    <row r="129" spans="12:12" ht="15" customHeight="1" x14ac:dyDescent="0.55000000000000004">
      <c r="L129" s="34" t="str">
        <f t="shared" si="12"/>
        <v/>
      </c>
    </row>
    <row r="130" spans="12:12" ht="15" customHeight="1" x14ac:dyDescent="0.55000000000000004">
      <c r="L130" s="34" t="str">
        <f t="shared" si="12"/>
        <v/>
      </c>
    </row>
    <row r="131" spans="12:12" ht="15" customHeight="1" x14ac:dyDescent="0.55000000000000004">
      <c r="L131" s="34" t="str">
        <f t="shared" si="12"/>
        <v/>
      </c>
    </row>
    <row r="132" spans="12:12" ht="15" customHeight="1" x14ac:dyDescent="0.55000000000000004">
      <c r="L132" s="34" t="str">
        <f t="shared" si="12"/>
        <v/>
      </c>
    </row>
    <row r="133" spans="12:12" ht="15" customHeight="1" x14ac:dyDescent="0.55000000000000004">
      <c r="L133" s="34" t="str">
        <f t="shared" si="12"/>
        <v/>
      </c>
    </row>
    <row r="134" spans="12:12" ht="15" customHeight="1" x14ac:dyDescent="0.55000000000000004">
      <c r="L134" s="34" t="str">
        <f t="shared" si="12"/>
        <v/>
      </c>
    </row>
    <row r="135" spans="12:12" ht="15" customHeight="1" x14ac:dyDescent="0.55000000000000004">
      <c r="L135" s="34" t="str">
        <f t="shared" si="12"/>
        <v/>
      </c>
    </row>
    <row r="136" spans="12:12" ht="15" customHeight="1" x14ac:dyDescent="0.55000000000000004">
      <c r="L136" s="34" t="str">
        <f t="shared" si="12"/>
        <v/>
      </c>
    </row>
    <row r="137" spans="12:12" ht="15" customHeight="1" x14ac:dyDescent="0.55000000000000004">
      <c r="L137" s="34" t="str">
        <f t="shared" si="12"/>
        <v/>
      </c>
    </row>
    <row r="138" spans="12:12" ht="15" customHeight="1" x14ac:dyDescent="0.55000000000000004">
      <c r="L138" s="34" t="str">
        <f t="shared" si="12"/>
        <v/>
      </c>
    </row>
    <row r="139" spans="12:12" ht="15" customHeight="1" x14ac:dyDescent="0.55000000000000004">
      <c r="L139" s="34" t="str">
        <f t="shared" si="12"/>
        <v/>
      </c>
    </row>
    <row r="140" spans="12:12" ht="15" customHeight="1" x14ac:dyDescent="0.55000000000000004">
      <c r="L140" s="34" t="str">
        <f t="shared" si="12"/>
        <v/>
      </c>
    </row>
    <row r="141" spans="12:12" ht="15" customHeight="1" x14ac:dyDescent="0.55000000000000004">
      <c r="L141" s="34" t="str">
        <f t="shared" si="12"/>
        <v/>
      </c>
    </row>
    <row r="142" spans="12:12" ht="15" customHeight="1" x14ac:dyDescent="0.55000000000000004">
      <c r="L142" s="34" t="str">
        <f t="shared" si="12"/>
        <v/>
      </c>
    </row>
    <row r="143" spans="12:12" ht="15" customHeight="1" x14ac:dyDescent="0.55000000000000004">
      <c r="L143" s="34" t="str">
        <f t="shared" si="12"/>
        <v/>
      </c>
    </row>
    <row r="144" spans="12:12" ht="15" customHeight="1" x14ac:dyDescent="0.55000000000000004">
      <c r="L144" s="34" t="str">
        <f t="shared" si="12"/>
        <v/>
      </c>
    </row>
    <row r="145" spans="12:12" ht="15" customHeight="1" x14ac:dyDescent="0.55000000000000004">
      <c r="L145" s="34" t="str">
        <f t="shared" si="12"/>
        <v/>
      </c>
    </row>
    <row r="146" spans="12:12" ht="15" customHeight="1" x14ac:dyDescent="0.55000000000000004">
      <c r="L146" s="34" t="str">
        <f t="shared" si="12"/>
        <v/>
      </c>
    </row>
    <row r="147" spans="12:12" ht="15" customHeight="1" x14ac:dyDescent="0.55000000000000004">
      <c r="L147" s="34" t="str">
        <f t="shared" si="12"/>
        <v/>
      </c>
    </row>
    <row r="148" spans="12:12" ht="15" customHeight="1" x14ac:dyDescent="0.55000000000000004">
      <c r="L148" s="34" t="str">
        <f t="shared" si="12"/>
        <v/>
      </c>
    </row>
    <row r="149" spans="12:12" ht="15" customHeight="1" x14ac:dyDescent="0.55000000000000004">
      <c r="L149" s="34" t="str">
        <f t="shared" si="12"/>
        <v/>
      </c>
    </row>
    <row r="150" spans="12:12" ht="15" customHeight="1" x14ac:dyDescent="0.55000000000000004">
      <c r="L150" s="34" t="str">
        <f t="shared" si="12"/>
        <v/>
      </c>
    </row>
    <row r="151" spans="12:12" ht="15" customHeight="1" x14ac:dyDescent="0.55000000000000004">
      <c r="L151" s="34" t="str">
        <f t="shared" si="12"/>
        <v/>
      </c>
    </row>
    <row r="152" spans="12:12" ht="15" customHeight="1" x14ac:dyDescent="0.55000000000000004">
      <c r="L152" s="34" t="str">
        <f t="shared" si="12"/>
        <v/>
      </c>
    </row>
    <row r="153" spans="12:12" ht="15" customHeight="1" x14ac:dyDescent="0.55000000000000004">
      <c r="L153" s="34" t="str">
        <f t="shared" si="12"/>
        <v/>
      </c>
    </row>
    <row r="154" spans="12:12" ht="15" customHeight="1" x14ac:dyDescent="0.55000000000000004">
      <c r="L154" s="34" t="str">
        <f t="shared" si="12"/>
        <v/>
      </c>
    </row>
    <row r="155" spans="12:12" ht="15" customHeight="1" x14ac:dyDescent="0.55000000000000004">
      <c r="L155" s="34" t="str">
        <f t="shared" si="12"/>
        <v/>
      </c>
    </row>
    <row r="156" spans="12:12" ht="15" customHeight="1" x14ac:dyDescent="0.55000000000000004">
      <c r="L156" s="34" t="str">
        <f t="shared" si="12"/>
        <v/>
      </c>
    </row>
    <row r="157" spans="12:12" ht="15" customHeight="1" x14ac:dyDescent="0.55000000000000004">
      <c r="L157" s="34" t="str">
        <f t="shared" si="12"/>
        <v/>
      </c>
    </row>
    <row r="158" spans="12:12" ht="15" customHeight="1" x14ac:dyDescent="0.55000000000000004">
      <c r="L158" s="34" t="str">
        <f t="shared" si="12"/>
        <v/>
      </c>
    </row>
    <row r="159" spans="12:12" ht="15" customHeight="1" x14ac:dyDescent="0.55000000000000004">
      <c r="L159" s="34" t="str">
        <f t="shared" si="12"/>
        <v/>
      </c>
    </row>
    <row r="160" spans="12:12" ht="15" customHeight="1" x14ac:dyDescent="0.55000000000000004">
      <c r="L160" s="34" t="str">
        <f t="shared" si="12"/>
        <v/>
      </c>
    </row>
    <row r="161" spans="12:12" ht="15" customHeight="1" x14ac:dyDescent="0.55000000000000004">
      <c r="L161" s="34" t="str">
        <f t="shared" si="12"/>
        <v/>
      </c>
    </row>
    <row r="162" spans="12:12" ht="15" customHeight="1" x14ac:dyDescent="0.55000000000000004">
      <c r="L162" s="34" t="str">
        <f t="shared" si="12"/>
        <v/>
      </c>
    </row>
    <row r="163" spans="12:12" ht="15" customHeight="1" x14ac:dyDescent="0.55000000000000004">
      <c r="L163" s="34" t="str">
        <f t="shared" si="12"/>
        <v/>
      </c>
    </row>
    <row r="164" spans="12:12" ht="15" customHeight="1" x14ac:dyDescent="0.55000000000000004">
      <c r="L164" s="34" t="str">
        <f t="shared" si="12"/>
        <v/>
      </c>
    </row>
    <row r="165" spans="12:12" ht="15" customHeight="1" x14ac:dyDescent="0.55000000000000004">
      <c r="L165" s="34" t="str">
        <f t="shared" si="12"/>
        <v/>
      </c>
    </row>
    <row r="166" spans="12:12" ht="15" customHeight="1" x14ac:dyDescent="0.55000000000000004">
      <c r="L166" s="34" t="str">
        <f t="shared" si="12"/>
        <v/>
      </c>
    </row>
    <row r="167" spans="12:12" ht="15" customHeight="1" x14ac:dyDescent="0.55000000000000004">
      <c r="L167" s="34" t="str">
        <f t="shared" si="12"/>
        <v/>
      </c>
    </row>
    <row r="168" spans="12:12" ht="15" customHeight="1" x14ac:dyDescent="0.55000000000000004">
      <c r="L168" s="34" t="str">
        <f t="shared" si="12"/>
        <v/>
      </c>
    </row>
    <row r="169" spans="12:12" ht="15" customHeight="1" x14ac:dyDescent="0.55000000000000004">
      <c r="L169" s="34" t="str">
        <f t="shared" si="12"/>
        <v/>
      </c>
    </row>
    <row r="170" spans="12:12" ht="15" customHeight="1" x14ac:dyDescent="0.55000000000000004">
      <c r="L170" s="34" t="str">
        <f t="shared" si="12"/>
        <v/>
      </c>
    </row>
    <row r="171" spans="12:12" ht="15" customHeight="1" x14ac:dyDescent="0.55000000000000004">
      <c r="L171" s="34" t="str">
        <f t="shared" si="12"/>
        <v/>
      </c>
    </row>
    <row r="172" spans="12:12" ht="15" customHeight="1" x14ac:dyDescent="0.55000000000000004">
      <c r="L172" s="34" t="str">
        <f t="shared" si="12"/>
        <v/>
      </c>
    </row>
    <row r="173" spans="12:12" ht="15" customHeight="1" x14ac:dyDescent="0.55000000000000004">
      <c r="L173" s="34" t="str">
        <f t="shared" si="12"/>
        <v/>
      </c>
    </row>
    <row r="174" spans="12:12" ht="15" customHeight="1" x14ac:dyDescent="0.55000000000000004">
      <c r="L174" s="34" t="str">
        <f t="shared" si="12"/>
        <v/>
      </c>
    </row>
    <row r="175" spans="12:12" ht="15" customHeight="1" x14ac:dyDescent="0.55000000000000004">
      <c r="L175" s="34" t="str">
        <f t="shared" si="12"/>
        <v/>
      </c>
    </row>
    <row r="176" spans="12:12" ht="15" customHeight="1" x14ac:dyDescent="0.55000000000000004">
      <c r="L176" s="34" t="str">
        <f t="shared" si="12"/>
        <v/>
      </c>
    </row>
    <row r="177" spans="12:12" ht="15" customHeight="1" x14ac:dyDescent="0.55000000000000004">
      <c r="L177" s="34" t="str">
        <f t="shared" si="12"/>
        <v/>
      </c>
    </row>
    <row r="178" spans="12:12" ht="15" customHeight="1" x14ac:dyDescent="0.55000000000000004">
      <c r="L178" s="34" t="str">
        <f t="shared" si="12"/>
        <v/>
      </c>
    </row>
    <row r="179" spans="12:12" ht="15" customHeight="1" x14ac:dyDescent="0.55000000000000004">
      <c r="L179" s="34" t="str">
        <f t="shared" si="12"/>
        <v/>
      </c>
    </row>
    <row r="180" spans="12:12" ht="15" customHeight="1" x14ac:dyDescent="0.55000000000000004">
      <c r="L180" s="34" t="str">
        <f t="shared" si="12"/>
        <v/>
      </c>
    </row>
    <row r="181" spans="12:12" ht="15" customHeight="1" x14ac:dyDescent="0.55000000000000004">
      <c r="L181" s="34" t="str">
        <f t="shared" si="12"/>
        <v/>
      </c>
    </row>
    <row r="182" spans="12:12" ht="15" customHeight="1" x14ac:dyDescent="0.55000000000000004">
      <c r="L182" s="34" t="str">
        <f t="shared" si="12"/>
        <v/>
      </c>
    </row>
    <row r="183" spans="12:12" ht="15" customHeight="1" x14ac:dyDescent="0.55000000000000004">
      <c r="L183" s="34" t="str">
        <f t="shared" si="12"/>
        <v/>
      </c>
    </row>
    <row r="184" spans="12:12" ht="15" customHeight="1" x14ac:dyDescent="0.55000000000000004">
      <c r="L184" s="34" t="str">
        <f t="shared" si="12"/>
        <v/>
      </c>
    </row>
    <row r="185" spans="12:12" ht="15" customHeight="1" x14ac:dyDescent="0.55000000000000004">
      <c r="L185" s="34" t="str">
        <f t="shared" si="12"/>
        <v/>
      </c>
    </row>
    <row r="186" spans="12:12" ht="15" customHeight="1" x14ac:dyDescent="0.55000000000000004">
      <c r="L186" s="34" t="str">
        <f t="shared" si="12"/>
        <v/>
      </c>
    </row>
    <row r="187" spans="12:12" ht="15" customHeight="1" x14ac:dyDescent="0.55000000000000004">
      <c r="L187" s="34" t="str">
        <f t="shared" si="12"/>
        <v/>
      </c>
    </row>
    <row r="188" spans="12:12" ht="15" customHeight="1" x14ac:dyDescent="0.55000000000000004">
      <c r="L188" s="34" t="str">
        <f t="shared" si="12"/>
        <v/>
      </c>
    </row>
    <row r="189" spans="12:12" ht="15" customHeight="1" x14ac:dyDescent="0.55000000000000004">
      <c r="L189" s="34" t="str">
        <f t="shared" si="12"/>
        <v/>
      </c>
    </row>
    <row r="190" spans="12:12" ht="15" customHeight="1" x14ac:dyDescent="0.55000000000000004">
      <c r="L190" s="34" t="str">
        <f t="shared" si="12"/>
        <v/>
      </c>
    </row>
    <row r="191" spans="12:12" ht="15" customHeight="1" x14ac:dyDescent="0.55000000000000004">
      <c r="L191" s="34" t="str">
        <f t="shared" si="12"/>
        <v/>
      </c>
    </row>
    <row r="192" spans="12:12" ht="15" customHeight="1" x14ac:dyDescent="0.55000000000000004">
      <c r="L192" s="34" t="str">
        <f t="shared" ref="L192:L255" si="13">IF(M192="","",IFERROR(VALUE(LEFT(TEXT(ABS(M192),"0"),1)),""))</f>
        <v/>
      </c>
    </row>
    <row r="193" spans="12:12" ht="15" customHeight="1" x14ac:dyDescent="0.55000000000000004">
      <c r="L193" s="34" t="str">
        <f t="shared" si="13"/>
        <v/>
      </c>
    </row>
    <row r="194" spans="12:12" ht="15" customHeight="1" x14ac:dyDescent="0.55000000000000004">
      <c r="L194" s="34" t="str">
        <f t="shared" si="13"/>
        <v/>
      </c>
    </row>
    <row r="195" spans="12:12" ht="15" customHeight="1" x14ac:dyDescent="0.55000000000000004">
      <c r="L195" s="34" t="str">
        <f t="shared" si="13"/>
        <v/>
      </c>
    </row>
    <row r="196" spans="12:12" ht="15" customHeight="1" x14ac:dyDescent="0.55000000000000004">
      <c r="L196" s="34" t="str">
        <f t="shared" si="13"/>
        <v/>
      </c>
    </row>
    <row r="197" spans="12:12" ht="15" customHeight="1" x14ac:dyDescent="0.55000000000000004">
      <c r="L197" s="34" t="str">
        <f t="shared" si="13"/>
        <v/>
      </c>
    </row>
    <row r="198" spans="12:12" ht="15" customHeight="1" x14ac:dyDescent="0.55000000000000004">
      <c r="L198" s="34" t="str">
        <f t="shared" si="13"/>
        <v/>
      </c>
    </row>
    <row r="199" spans="12:12" ht="15" customHeight="1" x14ac:dyDescent="0.55000000000000004">
      <c r="L199" s="34" t="str">
        <f t="shared" si="13"/>
        <v/>
      </c>
    </row>
    <row r="200" spans="12:12" ht="15" customHeight="1" x14ac:dyDescent="0.55000000000000004">
      <c r="L200" s="34" t="str">
        <f t="shared" si="13"/>
        <v/>
      </c>
    </row>
    <row r="201" spans="12:12" ht="15" customHeight="1" x14ac:dyDescent="0.55000000000000004">
      <c r="L201" s="34" t="str">
        <f t="shared" si="13"/>
        <v/>
      </c>
    </row>
    <row r="202" spans="12:12" ht="15" customHeight="1" x14ac:dyDescent="0.55000000000000004">
      <c r="L202" s="34" t="str">
        <f t="shared" si="13"/>
        <v/>
      </c>
    </row>
    <row r="203" spans="12:12" ht="15" customHeight="1" x14ac:dyDescent="0.55000000000000004">
      <c r="L203" s="34" t="str">
        <f t="shared" si="13"/>
        <v/>
      </c>
    </row>
    <row r="204" spans="12:12" ht="15" customHeight="1" x14ac:dyDescent="0.55000000000000004">
      <c r="L204" s="34" t="str">
        <f t="shared" si="13"/>
        <v/>
      </c>
    </row>
    <row r="205" spans="12:12" ht="15" customHeight="1" x14ac:dyDescent="0.55000000000000004">
      <c r="L205" s="34" t="str">
        <f t="shared" si="13"/>
        <v/>
      </c>
    </row>
    <row r="206" spans="12:12" ht="15" customHeight="1" x14ac:dyDescent="0.55000000000000004">
      <c r="L206" s="34" t="str">
        <f t="shared" si="13"/>
        <v/>
      </c>
    </row>
    <row r="207" spans="12:12" ht="15" customHeight="1" x14ac:dyDescent="0.55000000000000004">
      <c r="L207" s="34" t="str">
        <f t="shared" si="13"/>
        <v/>
      </c>
    </row>
    <row r="208" spans="12:12" ht="15" customHeight="1" x14ac:dyDescent="0.55000000000000004">
      <c r="L208" s="34" t="str">
        <f t="shared" si="13"/>
        <v/>
      </c>
    </row>
    <row r="209" spans="12:12" ht="15" customHeight="1" x14ac:dyDescent="0.55000000000000004">
      <c r="L209" s="34" t="str">
        <f t="shared" si="13"/>
        <v/>
      </c>
    </row>
    <row r="210" spans="12:12" ht="15" customHeight="1" x14ac:dyDescent="0.55000000000000004">
      <c r="L210" s="34" t="str">
        <f t="shared" si="13"/>
        <v/>
      </c>
    </row>
    <row r="211" spans="12:12" ht="15" customHeight="1" x14ac:dyDescent="0.55000000000000004">
      <c r="L211" s="34" t="str">
        <f t="shared" si="13"/>
        <v/>
      </c>
    </row>
    <row r="212" spans="12:12" ht="15" customHeight="1" x14ac:dyDescent="0.55000000000000004">
      <c r="L212" s="34" t="str">
        <f t="shared" si="13"/>
        <v/>
      </c>
    </row>
    <row r="213" spans="12:12" ht="15" customHeight="1" x14ac:dyDescent="0.55000000000000004">
      <c r="L213" s="34" t="str">
        <f t="shared" si="13"/>
        <v/>
      </c>
    </row>
    <row r="214" spans="12:12" ht="15" customHeight="1" x14ac:dyDescent="0.55000000000000004">
      <c r="L214" s="34" t="str">
        <f t="shared" si="13"/>
        <v/>
      </c>
    </row>
    <row r="215" spans="12:12" ht="15" customHeight="1" x14ac:dyDescent="0.55000000000000004">
      <c r="L215" s="34" t="str">
        <f t="shared" si="13"/>
        <v/>
      </c>
    </row>
    <row r="216" spans="12:12" ht="15" customHeight="1" x14ac:dyDescent="0.55000000000000004">
      <c r="L216" s="34" t="str">
        <f t="shared" si="13"/>
        <v/>
      </c>
    </row>
    <row r="217" spans="12:12" ht="15" customHeight="1" x14ac:dyDescent="0.55000000000000004">
      <c r="L217" s="34" t="str">
        <f t="shared" si="13"/>
        <v/>
      </c>
    </row>
    <row r="218" spans="12:12" ht="15" customHeight="1" x14ac:dyDescent="0.55000000000000004">
      <c r="L218" s="34" t="str">
        <f t="shared" si="13"/>
        <v/>
      </c>
    </row>
    <row r="219" spans="12:12" ht="15" customHeight="1" x14ac:dyDescent="0.55000000000000004">
      <c r="L219" s="34" t="str">
        <f t="shared" si="13"/>
        <v/>
      </c>
    </row>
    <row r="220" spans="12:12" ht="15" customHeight="1" x14ac:dyDescent="0.55000000000000004">
      <c r="L220" s="34" t="str">
        <f t="shared" si="13"/>
        <v/>
      </c>
    </row>
    <row r="221" spans="12:12" ht="15" customHeight="1" x14ac:dyDescent="0.55000000000000004">
      <c r="L221" s="34" t="str">
        <f t="shared" si="13"/>
        <v/>
      </c>
    </row>
    <row r="222" spans="12:12" ht="15" customHeight="1" x14ac:dyDescent="0.55000000000000004">
      <c r="L222" s="34" t="str">
        <f t="shared" si="13"/>
        <v/>
      </c>
    </row>
    <row r="223" spans="12:12" ht="15" customHeight="1" x14ac:dyDescent="0.55000000000000004">
      <c r="L223" s="34" t="str">
        <f t="shared" si="13"/>
        <v/>
      </c>
    </row>
    <row r="224" spans="12:12" ht="15" customHeight="1" x14ac:dyDescent="0.55000000000000004">
      <c r="L224" s="34" t="str">
        <f t="shared" si="13"/>
        <v/>
      </c>
    </row>
    <row r="225" spans="12:12" ht="15" customHeight="1" x14ac:dyDescent="0.55000000000000004">
      <c r="L225" s="34" t="str">
        <f t="shared" si="13"/>
        <v/>
      </c>
    </row>
    <row r="226" spans="12:12" ht="15" customHeight="1" x14ac:dyDescent="0.55000000000000004">
      <c r="L226" s="34" t="str">
        <f t="shared" si="13"/>
        <v/>
      </c>
    </row>
    <row r="227" spans="12:12" ht="15" customHeight="1" x14ac:dyDescent="0.55000000000000004">
      <c r="L227" s="34" t="str">
        <f t="shared" si="13"/>
        <v/>
      </c>
    </row>
    <row r="228" spans="12:12" ht="15" customHeight="1" x14ac:dyDescent="0.55000000000000004">
      <c r="L228" s="34" t="str">
        <f t="shared" si="13"/>
        <v/>
      </c>
    </row>
    <row r="229" spans="12:12" ht="15" customHeight="1" x14ac:dyDescent="0.55000000000000004">
      <c r="L229" s="34" t="str">
        <f t="shared" si="13"/>
        <v/>
      </c>
    </row>
    <row r="230" spans="12:12" ht="15" customHeight="1" x14ac:dyDescent="0.55000000000000004">
      <c r="L230" s="34" t="str">
        <f t="shared" si="13"/>
        <v/>
      </c>
    </row>
    <row r="231" spans="12:12" ht="15" customHeight="1" x14ac:dyDescent="0.55000000000000004">
      <c r="L231" s="34" t="str">
        <f t="shared" si="13"/>
        <v/>
      </c>
    </row>
    <row r="232" spans="12:12" ht="15" customHeight="1" x14ac:dyDescent="0.55000000000000004">
      <c r="L232" s="34" t="str">
        <f t="shared" si="13"/>
        <v/>
      </c>
    </row>
    <row r="233" spans="12:12" ht="15" customHeight="1" x14ac:dyDescent="0.55000000000000004">
      <c r="L233" s="34" t="str">
        <f t="shared" si="13"/>
        <v/>
      </c>
    </row>
    <row r="234" spans="12:12" ht="15" customHeight="1" x14ac:dyDescent="0.55000000000000004">
      <c r="L234" s="34" t="str">
        <f t="shared" si="13"/>
        <v/>
      </c>
    </row>
    <row r="235" spans="12:12" ht="15" customHeight="1" x14ac:dyDescent="0.55000000000000004">
      <c r="L235" s="34" t="str">
        <f t="shared" si="13"/>
        <v/>
      </c>
    </row>
    <row r="236" spans="12:12" ht="15" customHeight="1" x14ac:dyDescent="0.55000000000000004">
      <c r="L236" s="34" t="str">
        <f t="shared" si="13"/>
        <v/>
      </c>
    </row>
    <row r="237" spans="12:12" ht="15" customHeight="1" x14ac:dyDescent="0.55000000000000004">
      <c r="L237" s="34" t="str">
        <f t="shared" si="13"/>
        <v/>
      </c>
    </row>
    <row r="238" spans="12:12" ht="15" customHeight="1" x14ac:dyDescent="0.55000000000000004">
      <c r="L238" s="34" t="str">
        <f t="shared" si="13"/>
        <v/>
      </c>
    </row>
    <row r="239" spans="12:12" ht="15" customHeight="1" x14ac:dyDescent="0.55000000000000004">
      <c r="L239" s="34" t="str">
        <f t="shared" si="13"/>
        <v/>
      </c>
    </row>
    <row r="240" spans="12:12" ht="15" customHeight="1" x14ac:dyDescent="0.55000000000000004">
      <c r="L240" s="34" t="str">
        <f t="shared" si="13"/>
        <v/>
      </c>
    </row>
    <row r="241" spans="12:12" ht="15" customHeight="1" x14ac:dyDescent="0.55000000000000004">
      <c r="L241" s="34" t="str">
        <f t="shared" si="13"/>
        <v/>
      </c>
    </row>
    <row r="242" spans="12:12" ht="15" customHeight="1" x14ac:dyDescent="0.55000000000000004">
      <c r="L242" s="34" t="str">
        <f t="shared" si="13"/>
        <v/>
      </c>
    </row>
    <row r="243" spans="12:12" ht="15" customHeight="1" x14ac:dyDescent="0.55000000000000004">
      <c r="L243" s="34" t="str">
        <f t="shared" si="13"/>
        <v/>
      </c>
    </row>
    <row r="244" spans="12:12" ht="15" customHeight="1" x14ac:dyDescent="0.55000000000000004">
      <c r="L244" s="34" t="str">
        <f t="shared" si="13"/>
        <v/>
      </c>
    </row>
    <row r="245" spans="12:12" ht="15" customHeight="1" x14ac:dyDescent="0.55000000000000004">
      <c r="L245" s="34" t="str">
        <f t="shared" si="13"/>
        <v/>
      </c>
    </row>
    <row r="246" spans="12:12" ht="15" customHeight="1" x14ac:dyDescent="0.55000000000000004">
      <c r="L246" s="34" t="str">
        <f t="shared" si="13"/>
        <v/>
      </c>
    </row>
    <row r="247" spans="12:12" ht="15" customHeight="1" x14ac:dyDescent="0.55000000000000004">
      <c r="L247" s="34" t="str">
        <f t="shared" si="13"/>
        <v/>
      </c>
    </row>
    <row r="248" spans="12:12" ht="15" customHeight="1" x14ac:dyDescent="0.55000000000000004">
      <c r="L248" s="34" t="str">
        <f t="shared" si="13"/>
        <v/>
      </c>
    </row>
    <row r="249" spans="12:12" ht="15" customHeight="1" x14ac:dyDescent="0.55000000000000004">
      <c r="L249" s="34" t="str">
        <f t="shared" si="13"/>
        <v/>
      </c>
    </row>
    <row r="250" spans="12:12" ht="15" customHeight="1" x14ac:dyDescent="0.55000000000000004">
      <c r="L250" s="34" t="str">
        <f t="shared" si="13"/>
        <v/>
      </c>
    </row>
    <row r="251" spans="12:12" ht="15" customHeight="1" x14ac:dyDescent="0.55000000000000004">
      <c r="L251" s="34" t="str">
        <f t="shared" si="13"/>
        <v/>
      </c>
    </row>
    <row r="252" spans="12:12" ht="15" customHeight="1" x14ac:dyDescent="0.55000000000000004">
      <c r="L252" s="34" t="str">
        <f t="shared" si="13"/>
        <v/>
      </c>
    </row>
    <row r="253" spans="12:12" ht="15" customHeight="1" x14ac:dyDescent="0.55000000000000004">
      <c r="L253" s="34" t="str">
        <f t="shared" si="13"/>
        <v/>
      </c>
    </row>
    <row r="254" spans="12:12" ht="15" customHeight="1" x14ac:dyDescent="0.55000000000000004">
      <c r="L254" s="34" t="str">
        <f t="shared" si="13"/>
        <v/>
      </c>
    </row>
    <row r="255" spans="12:12" ht="15" customHeight="1" x14ac:dyDescent="0.55000000000000004">
      <c r="L255" s="34" t="str">
        <f t="shared" si="13"/>
        <v/>
      </c>
    </row>
    <row r="256" spans="12:12" ht="15" customHeight="1" x14ac:dyDescent="0.55000000000000004">
      <c r="L256" s="34" t="str">
        <f t="shared" ref="L256:L319" si="14">IF(M256="","",IFERROR(VALUE(LEFT(TEXT(ABS(M256),"0"),1)),""))</f>
        <v/>
      </c>
    </row>
    <row r="257" spans="12:12" ht="15" customHeight="1" x14ac:dyDescent="0.55000000000000004">
      <c r="L257" s="34" t="str">
        <f t="shared" si="14"/>
        <v/>
      </c>
    </row>
    <row r="258" spans="12:12" ht="15" customHeight="1" x14ac:dyDescent="0.55000000000000004">
      <c r="L258" s="34" t="str">
        <f t="shared" si="14"/>
        <v/>
      </c>
    </row>
    <row r="259" spans="12:12" ht="15" customHeight="1" x14ac:dyDescent="0.55000000000000004">
      <c r="L259" s="34" t="str">
        <f t="shared" si="14"/>
        <v/>
      </c>
    </row>
    <row r="260" spans="12:12" ht="15" customHeight="1" x14ac:dyDescent="0.55000000000000004">
      <c r="L260" s="34" t="str">
        <f t="shared" si="14"/>
        <v/>
      </c>
    </row>
    <row r="261" spans="12:12" ht="15" customHeight="1" x14ac:dyDescent="0.55000000000000004">
      <c r="L261" s="34" t="str">
        <f t="shared" si="14"/>
        <v/>
      </c>
    </row>
    <row r="262" spans="12:12" ht="15" customHeight="1" x14ac:dyDescent="0.55000000000000004">
      <c r="L262" s="34" t="str">
        <f t="shared" si="14"/>
        <v/>
      </c>
    </row>
    <row r="263" spans="12:12" ht="15" customHeight="1" x14ac:dyDescent="0.55000000000000004">
      <c r="L263" s="34" t="str">
        <f t="shared" si="14"/>
        <v/>
      </c>
    </row>
    <row r="264" spans="12:12" ht="15" customHeight="1" x14ac:dyDescent="0.55000000000000004">
      <c r="L264" s="34" t="str">
        <f t="shared" si="14"/>
        <v/>
      </c>
    </row>
    <row r="265" spans="12:12" ht="15" customHeight="1" x14ac:dyDescent="0.55000000000000004">
      <c r="L265" s="34" t="str">
        <f t="shared" si="14"/>
        <v/>
      </c>
    </row>
    <row r="266" spans="12:12" ht="15" customHeight="1" x14ac:dyDescent="0.55000000000000004">
      <c r="L266" s="34" t="str">
        <f t="shared" si="14"/>
        <v/>
      </c>
    </row>
    <row r="267" spans="12:12" ht="15" customHeight="1" x14ac:dyDescent="0.55000000000000004">
      <c r="L267" s="34" t="str">
        <f t="shared" si="14"/>
        <v/>
      </c>
    </row>
    <row r="268" spans="12:12" ht="15" customHeight="1" x14ac:dyDescent="0.55000000000000004">
      <c r="L268" s="34" t="str">
        <f t="shared" si="14"/>
        <v/>
      </c>
    </row>
    <row r="269" spans="12:12" ht="15" customHeight="1" x14ac:dyDescent="0.55000000000000004">
      <c r="L269" s="34" t="str">
        <f t="shared" si="14"/>
        <v/>
      </c>
    </row>
    <row r="270" spans="12:12" ht="15" customHeight="1" x14ac:dyDescent="0.55000000000000004">
      <c r="L270" s="34" t="str">
        <f t="shared" si="14"/>
        <v/>
      </c>
    </row>
    <row r="271" spans="12:12" ht="15" customHeight="1" x14ac:dyDescent="0.55000000000000004">
      <c r="L271" s="34" t="str">
        <f t="shared" si="14"/>
        <v/>
      </c>
    </row>
    <row r="272" spans="12:12" ht="15" customHeight="1" x14ac:dyDescent="0.55000000000000004">
      <c r="L272" s="34" t="str">
        <f t="shared" si="14"/>
        <v/>
      </c>
    </row>
    <row r="273" spans="12:12" ht="15" customHeight="1" x14ac:dyDescent="0.55000000000000004">
      <c r="L273" s="34" t="str">
        <f t="shared" si="14"/>
        <v/>
      </c>
    </row>
    <row r="274" spans="12:12" ht="15" customHeight="1" x14ac:dyDescent="0.55000000000000004">
      <c r="L274" s="34" t="str">
        <f t="shared" si="14"/>
        <v/>
      </c>
    </row>
    <row r="275" spans="12:12" ht="15" customHeight="1" x14ac:dyDescent="0.55000000000000004">
      <c r="L275" s="34" t="str">
        <f t="shared" si="14"/>
        <v/>
      </c>
    </row>
    <row r="276" spans="12:12" ht="15" customHeight="1" x14ac:dyDescent="0.55000000000000004">
      <c r="L276" s="34" t="str">
        <f t="shared" si="14"/>
        <v/>
      </c>
    </row>
    <row r="277" spans="12:12" ht="15" customHeight="1" x14ac:dyDescent="0.55000000000000004">
      <c r="L277" s="34" t="str">
        <f t="shared" si="14"/>
        <v/>
      </c>
    </row>
    <row r="278" spans="12:12" ht="15" customHeight="1" x14ac:dyDescent="0.55000000000000004">
      <c r="L278" s="34" t="str">
        <f t="shared" si="14"/>
        <v/>
      </c>
    </row>
    <row r="279" spans="12:12" ht="15" customHeight="1" x14ac:dyDescent="0.55000000000000004">
      <c r="L279" s="34" t="str">
        <f t="shared" si="14"/>
        <v/>
      </c>
    </row>
    <row r="280" spans="12:12" ht="15" customHeight="1" x14ac:dyDescent="0.55000000000000004">
      <c r="L280" s="34" t="str">
        <f t="shared" si="14"/>
        <v/>
      </c>
    </row>
    <row r="281" spans="12:12" ht="15" customHeight="1" x14ac:dyDescent="0.55000000000000004">
      <c r="L281" s="34" t="str">
        <f t="shared" si="14"/>
        <v/>
      </c>
    </row>
    <row r="282" spans="12:12" ht="15" customHeight="1" x14ac:dyDescent="0.55000000000000004">
      <c r="L282" s="34" t="str">
        <f t="shared" si="14"/>
        <v/>
      </c>
    </row>
    <row r="283" spans="12:12" ht="15" customHeight="1" x14ac:dyDescent="0.55000000000000004">
      <c r="L283" s="34" t="str">
        <f t="shared" si="14"/>
        <v/>
      </c>
    </row>
    <row r="284" spans="12:12" ht="15" customHeight="1" x14ac:dyDescent="0.55000000000000004">
      <c r="L284" s="34" t="str">
        <f t="shared" si="14"/>
        <v/>
      </c>
    </row>
    <row r="285" spans="12:12" ht="15" customHeight="1" x14ac:dyDescent="0.55000000000000004">
      <c r="L285" s="34" t="str">
        <f t="shared" si="14"/>
        <v/>
      </c>
    </row>
    <row r="286" spans="12:12" ht="15" customHeight="1" x14ac:dyDescent="0.55000000000000004">
      <c r="L286" s="34" t="str">
        <f t="shared" si="14"/>
        <v/>
      </c>
    </row>
    <row r="287" spans="12:12" ht="15" customHeight="1" x14ac:dyDescent="0.55000000000000004">
      <c r="L287" s="34" t="str">
        <f t="shared" si="14"/>
        <v/>
      </c>
    </row>
    <row r="288" spans="12:12" ht="15" customHeight="1" x14ac:dyDescent="0.55000000000000004">
      <c r="L288" s="34" t="str">
        <f t="shared" si="14"/>
        <v/>
      </c>
    </row>
    <row r="289" spans="12:12" ht="15" customHeight="1" x14ac:dyDescent="0.55000000000000004">
      <c r="L289" s="34" t="str">
        <f t="shared" si="14"/>
        <v/>
      </c>
    </row>
    <row r="290" spans="12:12" ht="15" customHeight="1" x14ac:dyDescent="0.55000000000000004">
      <c r="L290" s="34" t="str">
        <f t="shared" si="14"/>
        <v/>
      </c>
    </row>
    <row r="291" spans="12:12" ht="15" customHeight="1" x14ac:dyDescent="0.55000000000000004">
      <c r="L291" s="34" t="str">
        <f t="shared" si="14"/>
        <v/>
      </c>
    </row>
    <row r="292" spans="12:12" ht="15" customHeight="1" x14ac:dyDescent="0.55000000000000004">
      <c r="L292" s="34" t="str">
        <f t="shared" si="14"/>
        <v/>
      </c>
    </row>
    <row r="293" spans="12:12" ht="15" customHeight="1" x14ac:dyDescent="0.55000000000000004">
      <c r="L293" s="34" t="str">
        <f t="shared" si="14"/>
        <v/>
      </c>
    </row>
    <row r="294" spans="12:12" ht="15" customHeight="1" x14ac:dyDescent="0.55000000000000004">
      <c r="L294" s="34" t="str">
        <f t="shared" si="14"/>
        <v/>
      </c>
    </row>
    <row r="295" spans="12:12" ht="15" customHeight="1" x14ac:dyDescent="0.55000000000000004">
      <c r="L295" s="34" t="str">
        <f t="shared" si="14"/>
        <v/>
      </c>
    </row>
    <row r="296" spans="12:12" ht="15" customHeight="1" x14ac:dyDescent="0.55000000000000004">
      <c r="L296" s="34" t="str">
        <f t="shared" si="14"/>
        <v/>
      </c>
    </row>
    <row r="297" spans="12:12" ht="15" customHeight="1" x14ac:dyDescent="0.55000000000000004">
      <c r="L297" s="34" t="str">
        <f t="shared" si="14"/>
        <v/>
      </c>
    </row>
    <row r="298" spans="12:12" ht="15" customHeight="1" x14ac:dyDescent="0.55000000000000004">
      <c r="L298" s="34" t="str">
        <f t="shared" si="14"/>
        <v/>
      </c>
    </row>
    <row r="299" spans="12:12" ht="15" customHeight="1" x14ac:dyDescent="0.55000000000000004">
      <c r="L299" s="34" t="str">
        <f t="shared" si="14"/>
        <v/>
      </c>
    </row>
    <row r="300" spans="12:12" ht="15" customHeight="1" x14ac:dyDescent="0.55000000000000004">
      <c r="L300" s="34" t="str">
        <f t="shared" si="14"/>
        <v/>
      </c>
    </row>
    <row r="301" spans="12:12" ht="15" customHeight="1" x14ac:dyDescent="0.55000000000000004">
      <c r="L301" s="34" t="str">
        <f t="shared" si="14"/>
        <v/>
      </c>
    </row>
    <row r="302" spans="12:12" ht="15" customHeight="1" x14ac:dyDescent="0.55000000000000004">
      <c r="L302" s="34" t="str">
        <f t="shared" si="14"/>
        <v/>
      </c>
    </row>
    <row r="303" spans="12:12" ht="15" customHeight="1" x14ac:dyDescent="0.55000000000000004">
      <c r="L303" s="34" t="str">
        <f t="shared" si="14"/>
        <v/>
      </c>
    </row>
    <row r="304" spans="12:12" ht="15" customHeight="1" x14ac:dyDescent="0.55000000000000004">
      <c r="L304" s="34" t="str">
        <f t="shared" si="14"/>
        <v/>
      </c>
    </row>
    <row r="305" spans="12:12" ht="15" customHeight="1" x14ac:dyDescent="0.55000000000000004">
      <c r="L305" s="34" t="str">
        <f t="shared" si="14"/>
        <v/>
      </c>
    </row>
    <row r="306" spans="12:12" ht="15" customHeight="1" x14ac:dyDescent="0.55000000000000004">
      <c r="L306" s="34" t="str">
        <f t="shared" si="14"/>
        <v/>
      </c>
    </row>
    <row r="307" spans="12:12" ht="15" customHeight="1" x14ac:dyDescent="0.55000000000000004">
      <c r="L307" s="34" t="str">
        <f t="shared" si="14"/>
        <v/>
      </c>
    </row>
    <row r="308" spans="12:12" ht="15" customHeight="1" x14ac:dyDescent="0.55000000000000004">
      <c r="L308" s="34" t="str">
        <f t="shared" si="14"/>
        <v/>
      </c>
    </row>
    <row r="309" spans="12:12" ht="15" customHeight="1" x14ac:dyDescent="0.55000000000000004">
      <c r="L309" s="34" t="str">
        <f t="shared" si="14"/>
        <v/>
      </c>
    </row>
    <row r="310" spans="12:12" ht="15" customHeight="1" x14ac:dyDescent="0.55000000000000004">
      <c r="L310" s="34" t="str">
        <f t="shared" si="14"/>
        <v/>
      </c>
    </row>
    <row r="311" spans="12:12" ht="15" customHeight="1" x14ac:dyDescent="0.55000000000000004">
      <c r="L311" s="34" t="str">
        <f t="shared" si="14"/>
        <v/>
      </c>
    </row>
    <row r="312" spans="12:12" ht="15" customHeight="1" x14ac:dyDescent="0.55000000000000004">
      <c r="L312" s="34" t="str">
        <f t="shared" si="14"/>
        <v/>
      </c>
    </row>
    <row r="313" spans="12:12" ht="15" customHeight="1" x14ac:dyDescent="0.55000000000000004">
      <c r="L313" s="34" t="str">
        <f t="shared" si="14"/>
        <v/>
      </c>
    </row>
    <row r="314" spans="12:12" ht="15" customHeight="1" x14ac:dyDescent="0.55000000000000004">
      <c r="L314" s="34" t="str">
        <f t="shared" si="14"/>
        <v/>
      </c>
    </row>
    <row r="315" spans="12:12" ht="15" customHeight="1" x14ac:dyDescent="0.55000000000000004">
      <c r="L315" s="34" t="str">
        <f t="shared" si="14"/>
        <v/>
      </c>
    </row>
    <row r="316" spans="12:12" ht="15" customHeight="1" x14ac:dyDescent="0.55000000000000004">
      <c r="L316" s="34" t="str">
        <f t="shared" si="14"/>
        <v/>
      </c>
    </row>
    <row r="317" spans="12:12" ht="15" customHeight="1" x14ac:dyDescent="0.55000000000000004">
      <c r="L317" s="34" t="str">
        <f t="shared" si="14"/>
        <v/>
      </c>
    </row>
    <row r="318" spans="12:12" ht="15" customHeight="1" x14ac:dyDescent="0.55000000000000004">
      <c r="L318" s="34" t="str">
        <f t="shared" si="14"/>
        <v/>
      </c>
    </row>
    <row r="319" spans="12:12" ht="15" customHeight="1" x14ac:dyDescent="0.55000000000000004">
      <c r="L319" s="34" t="str">
        <f t="shared" si="14"/>
        <v/>
      </c>
    </row>
    <row r="320" spans="12:12" ht="15" customHeight="1" x14ac:dyDescent="0.55000000000000004">
      <c r="L320" s="34" t="str">
        <f t="shared" ref="L320:L383" si="15">IF(M320="","",IFERROR(VALUE(LEFT(TEXT(ABS(M320),"0"),1)),""))</f>
        <v/>
      </c>
    </row>
    <row r="321" spans="12:12" ht="15" customHeight="1" x14ac:dyDescent="0.55000000000000004">
      <c r="L321" s="34" t="str">
        <f t="shared" si="15"/>
        <v/>
      </c>
    </row>
    <row r="322" spans="12:12" ht="15" customHeight="1" x14ac:dyDescent="0.55000000000000004">
      <c r="L322" s="34" t="str">
        <f t="shared" si="15"/>
        <v/>
      </c>
    </row>
    <row r="323" spans="12:12" ht="15" customHeight="1" x14ac:dyDescent="0.55000000000000004">
      <c r="L323" s="34" t="str">
        <f t="shared" si="15"/>
        <v/>
      </c>
    </row>
    <row r="324" spans="12:12" ht="15" customHeight="1" x14ac:dyDescent="0.55000000000000004">
      <c r="L324" s="34" t="str">
        <f t="shared" si="15"/>
        <v/>
      </c>
    </row>
    <row r="325" spans="12:12" ht="15" customHeight="1" x14ac:dyDescent="0.55000000000000004">
      <c r="L325" s="34" t="str">
        <f t="shared" si="15"/>
        <v/>
      </c>
    </row>
    <row r="326" spans="12:12" ht="15" customHeight="1" x14ac:dyDescent="0.55000000000000004">
      <c r="L326" s="34" t="str">
        <f t="shared" si="15"/>
        <v/>
      </c>
    </row>
    <row r="327" spans="12:12" ht="15" customHeight="1" x14ac:dyDescent="0.55000000000000004">
      <c r="L327" s="34" t="str">
        <f t="shared" si="15"/>
        <v/>
      </c>
    </row>
    <row r="328" spans="12:12" ht="15" customHeight="1" x14ac:dyDescent="0.55000000000000004">
      <c r="L328" s="34" t="str">
        <f t="shared" si="15"/>
        <v/>
      </c>
    </row>
    <row r="329" spans="12:12" ht="15" customHeight="1" x14ac:dyDescent="0.55000000000000004">
      <c r="L329" s="34" t="str">
        <f t="shared" si="15"/>
        <v/>
      </c>
    </row>
    <row r="330" spans="12:12" ht="15" customHeight="1" x14ac:dyDescent="0.55000000000000004">
      <c r="L330" s="34" t="str">
        <f t="shared" si="15"/>
        <v/>
      </c>
    </row>
    <row r="331" spans="12:12" ht="15" customHeight="1" x14ac:dyDescent="0.55000000000000004">
      <c r="L331" s="34" t="str">
        <f t="shared" si="15"/>
        <v/>
      </c>
    </row>
    <row r="332" spans="12:12" ht="15" customHeight="1" x14ac:dyDescent="0.55000000000000004">
      <c r="L332" s="34" t="str">
        <f t="shared" si="15"/>
        <v/>
      </c>
    </row>
    <row r="333" spans="12:12" ht="15" customHeight="1" x14ac:dyDescent="0.55000000000000004">
      <c r="L333" s="34" t="str">
        <f t="shared" si="15"/>
        <v/>
      </c>
    </row>
    <row r="334" spans="12:12" ht="15" customHeight="1" x14ac:dyDescent="0.55000000000000004">
      <c r="L334" s="34" t="str">
        <f t="shared" si="15"/>
        <v/>
      </c>
    </row>
    <row r="335" spans="12:12" ht="15" customHeight="1" x14ac:dyDescent="0.55000000000000004">
      <c r="L335" s="34" t="str">
        <f t="shared" si="15"/>
        <v/>
      </c>
    </row>
    <row r="336" spans="12:12" ht="15" customHeight="1" x14ac:dyDescent="0.55000000000000004">
      <c r="L336" s="34" t="str">
        <f t="shared" si="15"/>
        <v/>
      </c>
    </row>
    <row r="337" spans="12:12" ht="15" customHeight="1" x14ac:dyDescent="0.55000000000000004">
      <c r="L337" s="34" t="str">
        <f t="shared" si="15"/>
        <v/>
      </c>
    </row>
    <row r="338" spans="12:12" ht="15" customHeight="1" x14ac:dyDescent="0.55000000000000004">
      <c r="L338" s="34" t="str">
        <f t="shared" si="15"/>
        <v/>
      </c>
    </row>
    <row r="339" spans="12:12" ht="15" customHeight="1" x14ac:dyDescent="0.55000000000000004">
      <c r="L339" s="34" t="str">
        <f t="shared" si="15"/>
        <v/>
      </c>
    </row>
    <row r="340" spans="12:12" ht="15" customHeight="1" x14ac:dyDescent="0.55000000000000004">
      <c r="L340" s="34" t="str">
        <f t="shared" si="15"/>
        <v/>
      </c>
    </row>
    <row r="341" spans="12:12" ht="15" customHeight="1" x14ac:dyDescent="0.55000000000000004">
      <c r="L341" s="34" t="str">
        <f t="shared" si="15"/>
        <v/>
      </c>
    </row>
    <row r="342" spans="12:12" ht="15" customHeight="1" x14ac:dyDescent="0.55000000000000004">
      <c r="L342" s="34" t="str">
        <f t="shared" si="15"/>
        <v/>
      </c>
    </row>
    <row r="343" spans="12:12" ht="15" customHeight="1" x14ac:dyDescent="0.55000000000000004">
      <c r="L343" s="34" t="str">
        <f t="shared" si="15"/>
        <v/>
      </c>
    </row>
    <row r="344" spans="12:12" ht="15" customHeight="1" x14ac:dyDescent="0.55000000000000004">
      <c r="L344" s="34" t="str">
        <f t="shared" si="15"/>
        <v/>
      </c>
    </row>
    <row r="345" spans="12:12" ht="15" customHeight="1" x14ac:dyDescent="0.55000000000000004">
      <c r="L345" s="34" t="str">
        <f t="shared" si="15"/>
        <v/>
      </c>
    </row>
    <row r="346" spans="12:12" ht="15" customHeight="1" x14ac:dyDescent="0.55000000000000004">
      <c r="L346" s="34" t="str">
        <f t="shared" si="15"/>
        <v/>
      </c>
    </row>
    <row r="347" spans="12:12" ht="15" customHeight="1" x14ac:dyDescent="0.55000000000000004">
      <c r="L347" s="34" t="str">
        <f t="shared" si="15"/>
        <v/>
      </c>
    </row>
    <row r="348" spans="12:12" ht="15" customHeight="1" x14ac:dyDescent="0.55000000000000004">
      <c r="L348" s="34" t="str">
        <f t="shared" si="15"/>
        <v/>
      </c>
    </row>
    <row r="349" spans="12:12" ht="15" customHeight="1" x14ac:dyDescent="0.55000000000000004">
      <c r="L349" s="34" t="str">
        <f t="shared" si="15"/>
        <v/>
      </c>
    </row>
    <row r="350" spans="12:12" ht="15" customHeight="1" x14ac:dyDescent="0.55000000000000004">
      <c r="L350" s="34" t="str">
        <f t="shared" si="15"/>
        <v/>
      </c>
    </row>
    <row r="351" spans="12:12" ht="15" customHeight="1" x14ac:dyDescent="0.55000000000000004">
      <c r="L351" s="34" t="str">
        <f t="shared" si="15"/>
        <v/>
      </c>
    </row>
    <row r="352" spans="12:12" ht="15" customHeight="1" x14ac:dyDescent="0.55000000000000004">
      <c r="L352" s="34" t="str">
        <f t="shared" si="15"/>
        <v/>
      </c>
    </row>
    <row r="353" spans="12:12" ht="15" customHeight="1" x14ac:dyDescent="0.55000000000000004">
      <c r="L353" s="34" t="str">
        <f t="shared" si="15"/>
        <v/>
      </c>
    </row>
    <row r="354" spans="12:12" ht="15" customHeight="1" x14ac:dyDescent="0.55000000000000004">
      <c r="L354" s="34" t="str">
        <f t="shared" si="15"/>
        <v/>
      </c>
    </row>
    <row r="355" spans="12:12" ht="15" customHeight="1" x14ac:dyDescent="0.55000000000000004">
      <c r="L355" s="34" t="str">
        <f t="shared" si="15"/>
        <v/>
      </c>
    </row>
    <row r="356" spans="12:12" ht="15" customHeight="1" x14ac:dyDescent="0.55000000000000004">
      <c r="L356" s="34" t="str">
        <f t="shared" si="15"/>
        <v/>
      </c>
    </row>
    <row r="357" spans="12:12" ht="15" customHeight="1" x14ac:dyDescent="0.55000000000000004">
      <c r="L357" s="34" t="str">
        <f t="shared" si="15"/>
        <v/>
      </c>
    </row>
    <row r="358" spans="12:12" ht="15" customHeight="1" x14ac:dyDescent="0.55000000000000004">
      <c r="L358" s="34" t="str">
        <f t="shared" si="15"/>
        <v/>
      </c>
    </row>
    <row r="359" spans="12:12" ht="15" customHeight="1" x14ac:dyDescent="0.55000000000000004">
      <c r="L359" s="34" t="str">
        <f t="shared" si="15"/>
        <v/>
      </c>
    </row>
    <row r="360" spans="12:12" ht="15" customHeight="1" x14ac:dyDescent="0.55000000000000004">
      <c r="L360" s="34" t="str">
        <f t="shared" si="15"/>
        <v/>
      </c>
    </row>
    <row r="361" spans="12:12" ht="15" customHeight="1" x14ac:dyDescent="0.55000000000000004">
      <c r="L361" s="34" t="str">
        <f t="shared" si="15"/>
        <v/>
      </c>
    </row>
    <row r="362" spans="12:12" ht="15" customHeight="1" x14ac:dyDescent="0.55000000000000004">
      <c r="L362" s="34" t="str">
        <f t="shared" si="15"/>
        <v/>
      </c>
    </row>
    <row r="363" spans="12:12" ht="15" customHeight="1" x14ac:dyDescent="0.55000000000000004">
      <c r="L363" s="34" t="str">
        <f t="shared" si="15"/>
        <v/>
      </c>
    </row>
    <row r="364" spans="12:12" ht="15" customHeight="1" x14ac:dyDescent="0.55000000000000004">
      <c r="L364" s="34" t="str">
        <f t="shared" si="15"/>
        <v/>
      </c>
    </row>
    <row r="365" spans="12:12" ht="15" customHeight="1" x14ac:dyDescent="0.55000000000000004">
      <c r="L365" s="34" t="str">
        <f t="shared" si="15"/>
        <v/>
      </c>
    </row>
    <row r="366" spans="12:12" ht="15" customHeight="1" x14ac:dyDescent="0.55000000000000004">
      <c r="L366" s="34" t="str">
        <f t="shared" si="15"/>
        <v/>
      </c>
    </row>
    <row r="367" spans="12:12" ht="15" customHeight="1" x14ac:dyDescent="0.55000000000000004">
      <c r="L367" s="34" t="str">
        <f t="shared" si="15"/>
        <v/>
      </c>
    </row>
    <row r="368" spans="12:12" ht="15" customHeight="1" x14ac:dyDescent="0.55000000000000004">
      <c r="L368" s="34" t="str">
        <f t="shared" si="15"/>
        <v/>
      </c>
    </row>
    <row r="369" spans="12:12" ht="15" customHeight="1" x14ac:dyDescent="0.55000000000000004">
      <c r="L369" s="34" t="str">
        <f t="shared" si="15"/>
        <v/>
      </c>
    </row>
    <row r="370" spans="12:12" ht="15" customHeight="1" x14ac:dyDescent="0.55000000000000004">
      <c r="L370" s="34" t="str">
        <f t="shared" si="15"/>
        <v/>
      </c>
    </row>
    <row r="371" spans="12:12" ht="15" customHeight="1" x14ac:dyDescent="0.55000000000000004">
      <c r="L371" s="34" t="str">
        <f t="shared" si="15"/>
        <v/>
      </c>
    </row>
    <row r="372" spans="12:12" ht="15" customHeight="1" x14ac:dyDescent="0.55000000000000004">
      <c r="L372" s="34" t="str">
        <f t="shared" si="15"/>
        <v/>
      </c>
    </row>
    <row r="373" spans="12:12" ht="15" customHeight="1" x14ac:dyDescent="0.55000000000000004">
      <c r="L373" s="34" t="str">
        <f t="shared" si="15"/>
        <v/>
      </c>
    </row>
    <row r="374" spans="12:12" ht="15" customHeight="1" x14ac:dyDescent="0.55000000000000004">
      <c r="L374" s="34" t="str">
        <f t="shared" si="15"/>
        <v/>
      </c>
    </row>
    <row r="375" spans="12:12" ht="15" customHeight="1" x14ac:dyDescent="0.55000000000000004">
      <c r="L375" s="34" t="str">
        <f t="shared" si="15"/>
        <v/>
      </c>
    </row>
    <row r="376" spans="12:12" ht="15" customHeight="1" x14ac:dyDescent="0.55000000000000004">
      <c r="L376" s="34" t="str">
        <f t="shared" si="15"/>
        <v/>
      </c>
    </row>
    <row r="377" spans="12:12" ht="15" customHeight="1" x14ac:dyDescent="0.55000000000000004">
      <c r="L377" s="34" t="str">
        <f t="shared" si="15"/>
        <v/>
      </c>
    </row>
    <row r="378" spans="12:12" ht="15" customHeight="1" x14ac:dyDescent="0.55000000000000004">
      <c r="L378" s="34" t="str">
        <f t="shared" si="15"/>
        <v/>
      </c>
    </row>
    <row r="379" spans="12:12" ht="15" customHeight="1" x14ac:dyDescent="0.55000000000000004">
      <c r="L379" s="34" t="str">
        <f t="shared" si="15"/>
        <v/>
      </c>
    </row>
    <row r="380" spans="12:12" ht="15" customHeight="1" x14ac:dyDescent="0.55000000000000004">
      <c r="L380" s="34" t="str">
        <f t="shared" si="15"/>
        <v/>
      </c>
    </row>
    <row r="381" spans="12:12" ht="15" customHeight="1" x14ac:dyDescent="0.55000000000000004">
      <c r="L381" s="34" t="str">
        <f t="shared" si="15"/>
        <v/>
      </c>
    </row>
    <row r="382" spans="12:12" ht="15" customHeight="1" x14ac:dyDescent="0.55000000000000004">
      <c r="L382" s="34" t="str">
        <f t="shared" si="15"/>
        <v/>
      </c>
    </row>
    <row r="383" spans="12:12" ht="15" customHeight="1" x14ac:dyDescent="0.55000000000000004">
      <c r="L383" s="34" t="str">
        <f t="shared" si="15"/>
        <v/>
      </c>
    </row>
    <row r="384" spans="12:12" ht="15" customHeight="1" x14ac:dyDescent="0.55000000000000004">
      <c r="L384" s="34" t="str">
        <f t="shared" ref="L384:L447" si="16">IF(M384="","",IFERROR(VALUE(LEFT(TEXT(ABS(M384),"0"),1)),""))</f>
        <v/>
      </c>
    </row>
    <row r="385" spans="12:12" ht="15" customHeight="1" x14ac:dyDescent="0.55000000000000004">
      <c r="L385" s="34" t="str">
        <f t="shared" si="16"/>
        <v/>
      </c>
    </row>
    <row r="386" spans="12:12" ht="15" customHeight="1" x14ac:dyDescent="0.55000000000000004">
      <c r="L386" s="34" t="str">
        <f t="shared" si="16"/>
        <v/>
      </c>
    </row>
    <row r="387" spans="12:12" ht="15" customHeight="1" x14ac:dyDescent="0.55000000000000004">
      <c r="L387" s="34" t="str">
        <f t="shared" si="16"/>
        <v/>
      </c>
    </row>
    <row r="388" spans="12:12" ht="15" customHeight="1" x14ac:dyDescent="0.55000000000000004">
      <c r="L388" s="34" t="str">
        <f t="shared" si="16"/>
        <v/>
      </c>
    </row>
    <row r="389" spans="12:12" ht="15" customHeight="1" x14ac:dyDescent="0.55000000000000004">
      <c r="L389" s="34" t="str">
        <f t="shared" si="16"/>
        <v/>
      </c>
    </row>
    <row r="390" spans="12:12" ht="15" customHeight="1" x14ac:dyDescent="0.55000000000000004">
      <c r="L390" s="34" t="str">
        <f t="shared" si="16"/>
        <v/>
      </c>
    </row>
    <row r="391" spans="12:12" ht="15" customHeight="1" x14ac:dyDescent="0.55000000000000004">
      <c r="L391" s="34" t="str">
        <f t="shared" si="16"/>
        <v/>
      </c>
    </row>
    <row r="392" spans="12:12" ht="15" customHeight="1" x14ac:dyDescent="0.55000000000000004">
      <c r="L392" s="34" t="str">
        <f t="shared" si="16"/>
        <v/>
      </c>
    </row>
    <row r="393" spans="12:12" ht="15" customHeight="1" x14ac:dyDescent="0.55000000000000004">
      <c r="L393" s="34" t="str">
        <f t="shared" si="16"/>
        <v/>
      </c>
    </row>
    <row r="394" spans="12:12" ht="15" customHeight="1" x14ac:dyDescent="0.55000000000000004">
      <c r="L394" s="34" t="str">
        <f t="shared" si="16"/>
        <v/>
      </c>
    </row>
    <row r="395" spans="12:12" ht="15" customHeight="1" x14ac:dyDescent="0.55000000000000004">
      <c r="L395" s="34" t="str">
        <f t="shared" si="16"/>
        <v/>
      </c>
    </row>
    <row r="396" spans="12:12" ht="15" customHeight="1" x14ac:dyDescent="0.55000000000000004">
      <c r="L396" s="34" t="str">
        <f t="shared" si="16"/>
        <v/>
      </c>
    </row>
    <row r="397" spans="12:12" ht="15" customHeight="1" x14ac:dyDescent="0.55000000000000004">
      <c r="L397" s="34" t="str">
        <f t="shared" si="16"/>
        <v/>
      </c>
    </row>
    <row r="398" spans="12:12" ht="15" customHeight="1" x14ac:dyDescent="0.55000000000000004">
      <c r="L398" s="34" t="str">
        <f t="shared" si="16"/>
        <v/>
      </c>
    </row>
    <row r="399" spans="12:12" ht="15" customHeight="1" x14ac:dyDescent="0.55000000000000004">
      <c r="L399" s="34" t="str">
        <f t="shared" si="16"/>
        <v/>
      </c>
    </row>
    <row r="400" spans="12:12" ht="15" customHeight="1" x14ac:dyDescent="0.55000000000000004">
      <c r="L400" s="34" t="str">
        <f t="shared" si="16"/>
        <v/>
      </c>
    </row>
    <row r="401" spans="12:12" ht="15" customHeight="1" x14ac:dyDescent="0.55000000000000004">
      <c r="L401" s="34" t="str">
        <f t="shared" si="16"/>
        <v/>
      </c>
    </row>
    <row r="402" spans="12:12" ht="15" customHeight="1" x14ac:dyDescent="0.55000000000000004">
      <c r="L402" s="34" t="str">
        <f t="shared" si="16"/>
        <v/>
      </c>
    </row>
    <row r="403" spans="12:12" ht="15" customHeight="1" x14ac:dyDescent="0.55000000000000004">
      <c r="L403" s="34" t="str">
        <f t="shared" si="16"/>
        <v/>
      </c>
    </row>
    <row r="404" spans="12:12" ht="15" customHeight="1" x14ac:dyDescent="0.55000000000000004">
      <c r="L404" s="34" t="str">
        <f t="shared" si="16"/>
        <v/>
      </c>
    </row>
    <row r="405" spans="12:12" ht="15" customHeight="1" x14ac:dyDescent="0.55000000000000004">
      <c r="L405" s="34" t="str">
        <f t="shared" si="16"/>
        <v/>
      </c>
    </row>
    <row r="406" spans="12:12" ht="15" customHeight="1" x14ac:dyDescent="0.55000000000000004">
      <c r="L406" s="34" t="str">
        <f t="shared" si="16"/>
        <v/>
      </c>
    </row>
    <row r="407" spans="12:12" ht="15" customHeight="1" x14ac:dyDescent="0.55000000000000004">
      <c r="L407" s="34" t="str">
        <f t="shared" si="16"/>
        <v/>
      </c>
    </row>
    <row r="408" spans="12:12" ht="15" customHeight="1" x14ac:dyDescent="0.55000000000000004">
      <c r="L408" s="34" t="str">
        <f t="shared" si="16"/>
        <v/>
      </c>
    </row>
    <row r="409" spans="12:12" ht="15" customHeight="1" x14ac:dyDescent="0.55000000000000004">
      <c r="L409" s="34" t="str">
        <f t="shared" si="16"/>
        <v/>
      </c>
    </row>
    <row r="410" spans="12:12" ht="15" customHeight="1" x14ac:dyDescent="0.55000000000000004">
      <c r="L410" s="34" t="str">
        <f t="shared" si="16"/>
        <v/>
      </c>
    </row>
    <row r="411" spans="12:12" ht="15" customHeight="1" x14ac:dyDescent="0.55000000000000004">
      <c r="L411" s="34" t="str">
        <f t="shared" si="16"/>
        <v/>
      </c>
    </row>
    <row r="412" spans="12:12" ht="15" customHeight="1" x14ac:dyDescent="0.55000000000000004">
      <c r="L412" s="34" t="str">
        <f t="shared" si="16"/>
        <v/>
      </c>
    </row>
    <row r="413" spans="12:12" ht="15" customHeight="1" x14ac:dyDescent="0.55000000000000004">
      <c r="L413" s="34" t="str">
        <f t="shared" si="16"/>
        <v/>
      </c>
    </row>
    <row r="414" spans="12:12" ht="15" customHeight="1" x14ac:dyDescent="0.55000000000000004">
      <c r="L414" s="34" t="str">
        <f t="shared" si="16"/>
        <v/>
      </c>
    </row>
    <row r="415" spans="12:12" ht="15" customHeight="1" x14ac:dyDescent="0.55000000000000004">
      <c r="L415" s="34" t="str">
        <f t="shared" si="16"/>
        <v/>
      </c>
    </row>
    <row r="416" spans="12:12" ht="15" customHeight="1" x14ac:dyDescent="0.55000000000000004">
      <c r="L416" s="34" t="str">
        <f t="shared" si="16"/>
        <v/>
      </c>
    </row>
    <row r="417" spans="12:12" ht="15" customHeight="1" x14ac:dyDescent="0.55000000000000004">
      <c r="L417" s="34" t="str">
        <f t="shared" si="16"/>
        <v/>
      </c>
    </row>
    <row r="418" spans="12:12" ht="15" customHeight="1" x14ac:dyDescent="0.55000000000000004">
      <c r="L418" s="34" t="str">
        <f t="shared" si="16"/>
        <v/>
      </c>
    </row>
    <row r="419" spans="12:12" ht="15" customHeight="1" x14ac:dyDescent="0.55000000000000004">
      <c r="L419" s="34" t="str">
        <f t="shared" si="16"/>
        <v/>
      </c>
    </row>
    <row r="420" spans="12:12" ht="15" customHeight="1" x14ac:dyDescent="0.55000000000000004">
      <c r="L420" s="34" t="str">
        <f t="shared" si="16"/>
        <v/>
      </c>
    </row>
    <row r="421" spans="12:12" ht="15" customHeight="1" x14ac:dyDescent="0.55000000000000004">
      <c r="L421" s="34" t="str">
        <f t="shared" si="16"/>
        <v/>
      </c>
    </row>
    <row r="422" spans="12:12" ht="15" customHeight="1" x14ac:dyDescent="0.55000000000000004">
      <c r="L422" s="34" t="str">
        <f t="shared" si="16"/>
        <v/>
      </c>
    </row>
    <row r="423" spans="12:12" ht="15" customHeight="1" x14ac:dyDescent="0.55000000000000004">
      <c r="L423" s="34" t="str">
        <f t="shared" si="16"/>
        <v/>
      </c>
    </row>
    <row r="424" spans="12:12" ht="15" customHeight="1" x14ac:dyDescent="0.55000000000000004">
      <c r="L424" s="34" t="str">
        <f t="shared" si="16"/>
        <v/>
      </c>
    </row>
    <row r="425" spans="12:12" ht="15" customHeight="1" x14ac:dyDescent="0.55000000000000004">
      <c r="L425" s="34" t="str">
        <f t="shared" si="16"/>
        <v/>
      </c>
    </row>
    <row r="426" spans="12:12" ht="15" customHeight="1" x14ac:dyDescent="0.55000000000000004">
      <c r="L426" s="34" t="str">
        <f t="shared" si="16"/>
        <v/>
      </c>
    </row>
    <row r="427" spans="12:12" ht="15" customHeight="1" x14ac:dyDescent="0.55000000000000004">
      <c r="L427" s="34" t="str">
        <f t="shared" si="16"/>
        <v/>
      </c>
    </row>
    <row r="428" spans="12:12" ht="15" customHeight="1" x14ac:dyDescent="0.55000000000000004">
      <c r="L428" s="34" t="str">
        <f t="shared" si="16"/>
        <v/>
      </c>
    </row>
    <row r="429" spans="12:12" ht="15" customHeight="1" x14ac:dyDescent="0.55000000000000004">
      <c r="L429" s="34" t="str">
        <f t="shared" si="16"/>
        <v/>
      </c>
    </row>
    <row r="430" spans="12:12" ht="15" customHeight="1" x14ac:dyDescent="0.55000000000000004">
      <c r="L430" s="34" t="str">
        <f t="shared" si="16"/>
        <v/>
      </c>
    </row>
    <row r="431" spans="12:12" ht="15" customHeight="1" x14ac:dyDescent="0.55000000000000004">
      <c r="L431" s="34" t="str">
        <f t="shared" si="16"/>
        <v/>
      </c>
    </row>
    <row r="432" spans="12:12" ht="15" customHeight="1" x14ac:dyDescent="0.55000000000000004">
      <c r="L432" s="34" t="str">
        <f t="shared" si="16"/>
        <v/>
      </c>
    </row>
    <row r="433" spans="12:12" ht="15" customHeight="1" x14ac:dyDescent="0.55000000000000004">
      <c r="L433" s="34" t="str">
        <f t="shared" si="16"/>
        <v/>
      </c>
    </row>
    <row r="434" spans="12:12" ht="15" customHeight="1" x14ac:dyDescent="0.55000000000000004">
      <c r="L434" s="34" t="str">
        <f t="shared" si="16"/>
        <v/>
      </c>
    </row>
    <row r="435" spans="12:12" ht="15" customHeight="1" x14ac:dyDescent="0.55000000000000004">
      <c r="L435" s="34" t="str">
        <f t="shared" si="16"/>
        <v/>
      </c>
    </row>
    <row r="436" spans="12:12" ht="15" customHeight="1" x14ac:dyDescent="0.55000000000000004">
      <c r="L436" s="34" t="str">
        <f t="shared" si="16"/>
        <v/>
      </c>
    </row>
    <row r="437" spans="12:12" ht="15" customHeight="1" x14ac:dyDescent="0.55000000000000004">
      <c r="L437" s="34" t="str">
        <f t="shared" si="16"/>
        <v/>
      </c>
    </row>
    <row r="438" spans="12:12" ht="15" customHeight="1" x14ac:dyDescent="0.55000000000000004">
      <c r="L438" s="34" t="str">
        <f t="shared" si="16"/>
        <v/>
      </c>
    </row>
    <row r="439" spans="12:12" ht="15" customHeight="1" x14ac:dyDescent="0.55000000000000004">
      <c r="L439" s="34" t="str">
        <f t="shared" si="16"/>
        <v/>
      </c>
    </row>
    <row r="440" spans="12:12" ht="15" customHeight="1" x14ac:dyDescent="0.55000000000000004">
      <c r="L440" s="34" t="str">
        <f t="shared" si="16"/>
        <v/>
      </c>
    </row>
    <row r="441" spans="12:12" ht="15" customHeight="1" x14ac:dyDescent="0.55000000000000004">
      <c r="L441" s="34" t="str">
        <f t="shared" si="16"/>
        <v/>
      </c>
    </row>
    <row r="442" spans="12:12" ht="15" customHeight="1" x14ac:dyDescent="0.55000000000000004">
      <c r="L442" s="34" t="str">
        <f t="shared" si="16"/>
        <v/>
      </c>
    </row>
    <row r="443" spans="12:12" ht="15" customHeight="1" x14ac:dyDescent="0.55000000000000004">
      <c r="L443" s="34" t="str">
        <f t="shared" si="16"/>
        <v/>
      </c>
    </row>
    <row r="444" spans="12:12" ht="15" customHeight="1" x14ac:dyDescent="0.55000000000000004">
      <c r="L444" s="34" t="str">
        <f t="shared" si="16"/>
        <v/>
      </c>
    </row>
    <row r="445" spans="12:12" ht="15" customHeight="1" x14ac:dyDescent="0.55000000000000004">
      <c r="L445" s="34" t="str">
        <f t="shared" si="16"/>
        <v/>
      </c>
    </row>
    <row r="446" spans="12:12" ht="15" customHeight="1" x14ac:dyDescent="0.55000000000000004">
      <c r="L446" s="34" t="str">
        <f t="shared" si="16"/>
        <v/>
      </c>
    </row>
    <row r="447" spans="12:12" ht="15" customHeight="1" x14ac:dyDescent="0.55000000000000004">
      <c r="L447" s="34" t="str">
        <f t="shared" si="16"/>
        <v/>
      </c>
    </row>
    <row r="448" spans="12:12" ht="15" customHeight="1" x14ac:dyDescent="0.55000000000000004">
      <c r="L448" s="34" t="str">
        <f t="shared" ref="L448:L511" si="17">IF(M448="","",IFERROR(VALUE(LEFT(TEXT(ABS(M448),"0"),1)),""))</f>
        <v/>
      </c>
    </row>
    <row r="449" spans="12:12" ht="15" customHeight="1" x14ac:dyDescent="0.55000000000000004">
      <c r="L449" s="34" t="str">
        <f t="shared" si="17"/>
        <v/>
      </c>
    </row>
    <row r="450" spans="12:12" ht="15" customHeight="1" x14ac:dyDescent="0.55000000000000004">
      <c r="L450" s="34" t="str">
        <f t="shared" si="17"/>
        <v/>
      </c>
    </row>
    <row r="451" spans="12:12" ht="15" customHeight="1" x14ac:dyDescent="0.55000000000000004">
      <c r="L451" s="34" t="str">
        <f t="shared" si="17"/>
        <v/>
      </c>
    </row>
    <row r="452" spans="12:12" ht="15" customHeight="1" x14ac:dyDescent="0.55000000000000004">
      <c r="L452" s="34" t="str">
        <f t="shared" si="17"/>
        <v/>
      </c>
    </row>
    <row r="453" spans="12:12" ht="15" customHeight="1" x14ac:dyDescent="0.55000000000000004">
      <c r="L453" s="34" t="str">
        <f t="shared" si="17"/>
        <v/>
      </c>
    </row>
    <row r="454" spans="12:12" ht="15" customHeight="1" x14ac:dyDescent="0.55000000000000004">
      <c r="L454" s="34" t="str">
        <f t="shared" si="17"/>
        <v/>
      </c>
    </row>
    <row r="455" spans="12:12" ht="15" customHeight="1" x14ac:dyDescent="0.55000000000000004">
      <c r="L455" s="34" t="str">
        <f t="shared" si="17"/>
        <v/>
      </c>
    </row>
    <row r="456" spans="12:12" ht="15" customHeight="1" x14ac:dyDescent="0.55000000000000004">
      <c r="L456" s="34" t="str">
        <f t="shared" si="17"/>
        <v/>
      </c>
    </row>
    <row r="457" spans="12:12" ht="15" customHeight="1" x14ac:dyDescent="0.55000000000000004">
      <c r="L457" s="34" t="str">
        <f t="shared" si="17"/>
        <v/>
      </c>
    </row>
    <row r="458" spans="12:12" ht="15" customHeight="1" x14ac:dyDescent="0.55000000000000004">
      <c r="L458" s="34" t="str">
        <f t="shared" si="17"/>
        <v/>
      </c>
    </row>
    <row r="459" spans="12:12" ht="15" customHeight="1" x14ac:dyDescent="0.55000000000000004">
      <c r="L459" s="34" t="str">
        <f t="shared" si="17"/>
        <v/>
      </c>
    </row>
    <row r="460" spans="12:12" ht="15" customHeight="1" x14ac:dyDescent="0.55000000000000004">
      <c r="L460" s="34" t="str">
        <f t="shared" si="17"/>
        <v/>
      </c>
    </row>
    <row r="461" spans="12:12" ht="15" customHeight="1" x14ac:dyDescent="0.55000000000000004">
      <c r="L461" s="34" t="str">
        <f t="shared" si="17"/>
        <v/>
      </c>
    </row>
    <row r="462" spans="12:12" ht="15" customHeight="1" x14ac:dyDescent="0.55000000000000004">
      <c r="L462" s="34" t="str">
        <f t="shared" si="17"/>
        <v/>
      </c>
    </row>
    <row r="463" spans="12:12" ht="15" customHeight="1" x14ac:dyDescent="0.55000000000000004">
      <c r="L463" s="34" t="str">
        <f t="shared" si="17"/>
        <v/>
      </c>
    </row>
    <row r="464" spans="12:12" ht="15" customHeight="1" x14ac:dyDescent="0.55000000000000004">
      <c r="L464" s="34" t="str">
        <f t="shared" si="17"/>
        <v/>
      </c>
    </row>
    <row r="465" spans="12:12" ht="15" customHeight="1" x14ac:dyDescent="0.55000000000000004">
      <c r="L465" s="34" t="str">
        <f t="shared" si="17"/>
        <v/>
      </c>
    </row>
    <row r="466" spans="12:12" ht="15" customHeight="1" x14ac:dyDescent="0.55000000000000004">
      <c r="L466" s="34" t="str">
        <f t="shared" si="17"/>
        <v/>
      </c>
    </row>
    <row r="467" spans="12:12" ht="15" customHeight="1" x14ac:dyDescent="0.55000000000000004">
      <c r="L467" s="34" t="str">
        <f t="shared" si="17"/>
        <v/>
      </c>
    </row>
    <row r="468" spans="12:12" ht="15" customHeight="1" x14ac:dyDescent="0.55000000000000004">
      <c r="L468" s="34" t="str">
        <f t="shared" si="17"/>
        <v/>
      </c>
    </row>
    <row r="469" spans="12:12" ht="15" customHeight="1" x14ac:dyDescent="0.55000000000000004">
      <c r="L469" s="34" t="str">
        <f t="shared" si="17"/>
        <v/>
      </c>
    </row>
    <row r="470" spans="12:12" ht="15" customHeight="1" x14ac:dyDescent="0.55000000000000004">
      <c r="L470" s="34" t="str">
        <f t="shared" si="17"/>
        <v/>
      </c>
    </row>
    <row r="471" spans="12:12" ht="15" customHeight="1" x14ac:dyDescent="0.55000000000000004">
      <c r="L471" s="34" t="str">
        <f t="shared" si="17"/>
        <v/>
      </c>
    </row>
    <row r="472" spans="12:12" ht="15" customHeight="1" x14ac:dyDescent="0.55000000000000004">
      <c r="L472" s="34" t="str">
        <f t="shared" si="17"/>
        <v/>
      </c>
    </row>
    <row r="473" spans="12:12" ht="15" customHeight="1" x14ac:dyDescent="0.55000000000000004">
      <c r="L473" s="34" t="str">
        <f t="shared" si="17"/>
        <v/>
      </c>
    </row>
    <row r="474" spans="12:12" ht="15" customHeight="1" x14ac:dyDescent="0.55000000000000004">
      <c r="L474" s="34" t="str">
        <f t="shared" si="17"/>
        <v/>
      </c>
    </row>
    <row r="475" spans="12:12" ht="15" customHeight="1" x14ac:dyDescent="0.55000000000000004">
      <c r="L475" s="34" t="str">
        <f t="shared" si="17"/>
        <v/>
      </c>
    </row>
    <row r="476" spans="12:12" ht="15" customHeight="1" x14ac:dyDescent="0.55000000000000004">
      <c r="L476" s="34" t="str">
        <f t="shared" si="17"/>
        <v/>
      </c>
    </row>
    <row r="477" spans="12:12" ht="15" customHeight="1" x14ac:dyDescent="0.55000000000000004">
      <c r="L477" s="34" t="str">
        <f t="shared" si="17"/>
        <v/>
      </c>
    </row>
    <row r="478" spans="12:12" ht="15" customHeight="1" x14ac:dyDescent="0.55000000000000004">
      <c r="L478" s="34" t="str">
        <f t="shared" si="17"/>
        <v/>
      </c>
    </row>
    <row r="479" spans="12:12" ht="15" customHeight="1" x14ac:dyDescent="0.55000000000000004">
      <c r="L479" s="34" t="str">
        <f t="shared" si="17"/>
        <v/>
      </c>
    </row>
    <row r="480" spans="12:12" ht="15" customHeight="1" x14ac:dyDescent="0.55000000000000004">
      <c r="L480" s="34" t="str">
        <f t="shared" si="17"/>
        <v/>
      </c>
    </row>
    <row r="481" spans="12:12" ht="15" customHeight="1" x14ac:dyDescent="0.55000000000000004">
      <c r="L481" s="34" t="str">
        <f t="shared" si="17"/>
        <v/>
      </c>
    </row>
    <row r="482" spans="12:12" ht="15" customHeight="1" x14ac:dyDescent="0.55000000000000004">
      <c r="L482" s="34" t="str">
        <f t="shared" si="17"/>
        <v/>
      </c>
    </row>
    <row r="483" spans="12:12" ht="15" customHeight="1" x14ac:dyDescent="0.55000000000000004">
      <c r="L483" s="34" t="str">
        <f t="shared" si="17"/>
        <v/>
      </c>
    </row>
    <row r="484" spans="12:12" ht="15" customHeight="1" x14ac:dyDescent="0.55000000000000004">
      <c r="L484" s="34" t="str">
        <f t="shared" si="17"/>
        <v/>
      </c>
    </row>
    <row r="485" spans="12:12" ht="15" customHeight="1" x14ac:dyDescent="0.55000000000000004">
      <c r="L485" s="34" t="str">
        <f t="shared" si="17"/>
        <v/>
      </c>
    </row>
    <row r="486" spans="12:12" ht="15" customHeight="1" x14ac:dyDescent="0.55000000000000004">
      <c r="L486" s="34" t="str">
        <f t="shared" si="17"/>
        <v/>
      </c>
    </row>
    <row r="487" spans="12:12" ht="15" customHeight="1" x14ac:dyDescent="0.55000000000000004">
      <c r="L487" s="34" t="str">
        <f t="shared" si="17"/>
        <v/>
      </c>
    </row>
    <row r="488" spans="12:12" ht="15" customHeight="1" x14ac:dyDescent="0.55000000000000004">
      <c r="L488" s="34" t="str">
        <f t="shared" si="17"/>
        <v/>
      </c>
    </row>
    <row r="489" spans="12:12" ht="15" customHeight="1" x14ac:dyDescent="0.55000000000000004">
      <c r="L489" s="34" t="str">
        <f t="shared" si="17"/>
        <v/>
      </c>
    </row>
    <row r="490" spans="12:12" ht="15" customHeight="1" x14ac:dyDescent="0.55000000000000004">
      <c r="L490" s="34" t="str">
        <f t="shared" si="17"/>
        <v/>
      </c>
    </row>
    <row r="491" spans="12:12" ht="15" customHeight="1" x14ac:dyDescent="0.55000000000000004">
      <c r="L491" s="34" t="str">
        <f t="shared" si="17"/>
        <v/>
      </c>
    </row>
    <row r="492" spans="12:12" ht="15" customHeight="1" x14ac:dyDescent="0.55000000000000004">
      <c r="L492" s="34" t="str">
        <f t="shared" si="17"/>
        <v/>
      </c>
    </row>
    <row r="493" spans="12:12" ht="15" customHeight="1" x14ac:dyDescent="0.55000000000000004">
      <c r="L493" s="34" t="str">
        <f t="shared" si="17"/>
        <v/>
      </c>
    </row>
    <row r="494" spans="12:12" ht="15" customHeight="1" x14ac:dyDescent="0.55000000000000004">
      <c r="L494" s="34" t="str">
        <f t="shared" si="17"/>
        <v/>
      </c>
    </row>
    <row r="495" spans="12:12" ht="15" customHeight="1" x14ac:dyDescent="0.55000000000000004">
      <c r="L495" s="34" t="str">
        <f t="shared" si="17"/>
        <v/>
      </c>
    </row>
    <row r="496" spans="12:12" ht="15" customHeight="1" x14ac:dyDescent="0.55000000000000004">
      <c r="L496" s="34" t="str">
        <f t="shared" si="17"/>
        <v/>
      </c>
    </row>
    <row r="497" spans="12:12" ht="15" customHeight="1" x14ac:dyDescent="0.55000000000000004">
      <c r="L497" s="34" t="str">
        <f t="shared" si="17"/>
        <v/>
      </c>
    </row>
    <row r="498" spans="12:12" ht="15" customHeight="1" x14ac:dyDescent="0.55000000000000004">
      <c r="L498" s="34" t="str">
        <f t="shared" si="17"/>
        <v/>
      </c>
    </row>
    <row r="499" spans="12:12" ht="15" customHeight="1" x14ac:dyDescent="0.55000000000000004">
      <c r="L499" s="34" t="str">
        <f t="shared" si="17"/>
        <v/>
      </c>
    </row>
    <row r="500" spans="12:12" ht="15" customHeight="1" x14ac:dyDescent="0.55000000000000004">
      <c r="L500" s="34" t="str">
        <f t="shared" si="17"/>
        <v/>
      </c>
    </row>
    <row r="501" spans="12:12" ht="15" customHeight="1" x14ac:dyDescent="0.55000000000000004">
      <c r="L501" s="34" t="str">
        <f t="shared" si="17"/>
        <v/>
      </c>
    </row>
    <row r="502" spans="12:12" ht="15" customHeight="1" x14ac:dyDescent="0.55000000000000004">
      <c r="L502" s="34" t="str">
        <f t="shared" si="17"/>
        <v/>
      </c>
    </row>
    <row r="503" spans="12:12" ht="15" customHeight="1" x14ac:dyDescent="0.55000000000000004">
      <c r="L503" s="34" t="str">
        <f t="shared" si="17"/>
        <v/>
      </c>
    </row>
    <row r="504" spans="12:12" ht="15" customHeight="1" x14ac:dyDescent="0.55000000000000004">
      <c r="L504" s="34" t="str">
        <f t="shared" si="17"/>
        <v/>
      </c>
    </row>
    <row r="505" spans="12:12" ht="15" customHeight="1" x14ac:dyDescent="0.55000000000000004">
      <c r="L505" s="34" t="str">
        <f t="shared" si="17"/>
        <v/>
      </c>
    </row>
    <row r="506" spans="12:12" ht="15" customHeight="1" x14ac:dyDescent="0.55000000000000004">
      <c r="L506" s="34" t="str">
        <f t="shared" si="17"/>
        <v/>
      </c>
    </row>
    <row r="507" spans="12:12" ht="15" customHeight="1" x14ac:dyDescent="0.55000000000000004">
      <c r="L507" s="34" t="str">
        <f t="shared" si="17"/>
        <v/>
      </c>
    </row>
  </sheetData>
  <mergeCells count="27">
    <mergeCell ref="B61:K61"/>
    <mergeCell ref="B63:K63"/>
    <mergeCell ref="B56:K56"/>
    <mergeCell ref="B57:K57"/>
    <mergeCell ref="B58:K58"/>
    <mergeCell ref="B59:K59"/>
    <mergeCell ref="B60:K60"/>
    <mergeCell ref="C49:K49"/>
    <mergeCell ref="A51:K51"/>
    <mergeCell ref="B52:K52"/>
    <mergeCell ref="B54:K54"/>
    <mergeCell ref="B55:K55"/>
    <mergeCell ref="A44:K44"/>
    <mergeCell ref="E46:K46"/>
    <mergeCell ref="E47:K47"/>
    <mergeCell ref="C48:D48"/>
    <mergeCell ref="E48:K48"/>
    <mergeCell ref="A22:K22"/>
    <mergeCell ref="B23:K23"/>
    <mergeCell ref="A33:K33"/>
    <mergeCell ref="B34:K34"/>
    <mergeCell ref="G42:H42"/>
    <mergeCell ref="A1:P1"/>
    <mergeCell ref="A2:P2"/>
    <mergeCell ref="A4:P4"/>
    <mergeCell ref="B5:P5"/>
    <mergeCell ref="B20:J20"/>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86"/>
  <sheetViews>
    <sheetView zoomScaleNormal="100" workbookViewId="0"/>
  </sheetViews>
  <sheetFormatPr defaultColWidth="8.68359375" defaultRowHeight="14.4" x14ac:dyDescent="0.55000000000000004"/>
  <cols>
    <col min="1" max="1" width="5" customWidth="1"/>
    <col min="2" max="2" width="38" customWidth="1"/>
    <col min="3" max="12" width="14" customWidth="1"/>
    <col min="13" max="13" width="30" customWidth="1"/>
    <col min="14" max="14" width="14" customWidth="1"/>
  </cols>
  <sheetData>
    <row r="1" spans="1:13" ht="21.75" customHeight="1" x14ac:dyDescent="0.55000000000000004">
      <c r="A1" s="339" t="str">
        <f>CONCATENATE("TIME-SERIES FORECASTING ENGINE  |  FORECAST.ETS  |  ", BorrowerName)</f>
        <v xml:space="preserve">TIME-SERIES FORECASTING ENGINE  |  FORECAST.ETS  |  </v>
      </c>
      <c r="B1" s="339"/>
      <c r="C1" s="339"/>
      <c r="D1" s="339"/>
      <c r="E1" s="339"/>
      <c r="F1" s="339"/>
      <c r="G1" s="339"/>
      <c r="H1" s="339"/>
      <c r="I1" s="339"/>
      <c r="J1" s="339"/>
      <c r="K1" s="339"/>
      <c r="L1" s="339"/>
      <c r="M1" s="339"/>
    </row>
    <row r="2" spans="1:13" ht="15" customHeight="1" x14ac:dyDescent="0.55000000000000004">
      <c r="A2" s="342" t="s">
        <v>1714</v>
      </c>
      <c r="B2" s="342"/>
      <c r="C2" s="342"/>
      <c r="D2" s="342"/>
      <c r="E2" s="342"/>
      <c r="F2" s="342"/>
      <c r="G2" s="342"/>
      <c r="H2" s="342"/>
      <c r="I2" s="342"/>
      <c r="J2" s="342"/>
      <c r="K2" s="342"/>
      <c r="L2" s="342"/>
      <c r="M2" s="342"/>
    </row>
    <row r="4" spans="1:13" ht="15" customHeight="1" x14ac:dyDescent="0.55000000000000004">
      <c r="A4" s="324" t="s">
        <v>1715</v>
      </c>
      <c r="B4" s="324"/>
      <c r="C4" s="324"/>
      <c r="D4" s="324"/>
      <c r="E4" s="324"/>
      <c r="F4" s="324"/>
      <c r="G4" s="324"/>
      <c r="H4" s="324"/>
      <c r="I4" s="324"/>
      <c r="J4" s="324"/>
      <c r="K4" s="324"/>
      <c r="L4" s="324"/>
      <c r="M4" s="324"/>
    </row>
    <row r="5" spans="1:13" ht="30" customHeight="1" x14ac:dyDescent="0.55000000000000004">
      <c r="B5" s="236" t="s">
        <v>644</v>
      </c>
      <c r="C5" s="236" t="s">
        <v>3</v>
      </c>
      <c r="D5" s="236" t="s">
        <v>4</v>
      </c>
      <c r="E5" s="236" t="s">
        <v>1716</v>
      </c>
      <c r="F5" s="236" t="s">
        <v>1717</v>
      </c>
      <c r="G5" s="236" t="s">
        <v>1718</v>
      </c>
      <c r="H5" s="236" t="s">
        <v>1717</v>
      </c>
      <c r="I5" s="236" t="s">
        <v>1719</v>
      </c>
      <c r="J5" s="236" t="s">
        <v>1720</v>
      </c>
      <c r="K5" s="236" t="s">
        <v>1258</v>
      </c>
      <c r="L5" s="236" t="s">
        <v>137</v>
      </c>
    </row>
    <row r="6" spans="1:13" ht="15" customHeight="1" x14ac:dyDescent="0.55000000000000004">
      <c r="B6" s="50" t="s">
        <v>1532</v>
      </c>
      <c r="C6" t="s">
        <v>8</v>
      </c>
      <c r="D6" s="263">
        <f>IFERROR(INDEX('2_Operating_Statement'!C13:N13,1,LatestAudCol),0)</f>
        <v>0</v>
      </c>
      <c r="E6" s="264" t="str">
        <f ca="1">IF(LatestAudCol&lt;4,"Need ≥4yrs",IFERROR(_xludf.forecast.ets(LatestAudCol+1,INDEX('2_Operating_Statement'!C13:N13,1,1):INDEX('2_Operating_Statement'!C13:N13,1,LatestAudCol),ROW(INDIRECT("1:"&amp;LatestAudCol))),"—"))</f>
        <v>—</v>
      </c>
      <c r="F6" s="265" t="str">
        <f ca="1">IF(LatestAudCol&lt;4,"—",IFERROR(_xludf.forecast.ets.confint(LatestAudCol+1,INDEX('2_Operating_Statement'!C13:N13,1,1):INDEX('2_Operating_Statement'!C13:N13,1,LatestAudCol),ROW(INDIRECT("1:"&amp;LatestAudCol)),0.95),"—"))</f>
        <v>—</v>
      </c>
      <c r="G6" s="264" t="str">
        <f ca="1">IF(LatestAudCol&lt;4,"—",IFERROR(_xludf.forecast.ets(LatestAudCol+2,INDEX('2_Operating_Statement'!C13:N13,1,1):INDEX('2_Operating_Statement'!C13:N13,1,LatestAudCol),ROW(INDIRECT("1:"&amp;LatestAudCol))),"—"))</f>
        <v>—</v>
      </c>
      <c r="H6" s="265" t="str">
        <f ca="1">IF(LatestAudCol&lt;4,"—",IFERROR(_xludf.forecast.ets.confint(LatestAudCol+2,INDEX('2_Operating_Statement'!C13:N13,1,1):INDEX('2_Operating_Statement'!C13:N13,1,LatestAudCol),ROW(INDIRECT("1:"&amp;LatestAudCol)),0.95),"—"))</f>
        <v>—</v>
      </c>
      <c r="I6" s="34" t="str">
        <f ca="1">IF(NOT(ISNUMBER(E6)),"—",IF(E6&gt;D6*1.05,"↑ Growth",IF(E6&lt;D6*0.95,"↓ Decline","→ Flat")))</f>
        <v>—</v>
      </c>
      <c r="J6" s="266" t="str">
        <f ca="1">IFERROR(IF(NOT(ISNUMBER(E6)),"—",IF(D6=0,"—",E6/D6-1)),"—")</f>
        <v>—</v>
      </c>
      <c r="K6" s="34" t="str">
        <f ca="1">IF(NOT(ISNUMBER(J6)),"—",IF(J6&lt;-0.1,"🔴 &gt;10% decline projected",IF(J6&lt;0,"🟠 Decline projected",IF(J6&gt;0.5,"🟡 Aggressive growth — verify",IF(J6&gt;0.2,"🟢 Strong growth","🟢 Stable")))))</f>
        <v>—</v>
      </c>
      <c r="L6" s="173" t="s">
        <v>1721</v>
      </c>
    </row>
    <row r="7" spans="1:13" ht="15" customHeight="1" x14ac:dyDescent="0.55000000000000004">
      <c r="B7" s="50" t="s">
        <v>1535</v>
      </c>
      <c r="C7" t="s">
        <v>1722</v>
      </c>
      <c r="D7" s="263">
        <f>IFERROR(INDEX('2_Operating_Statement'!C33:N33,1,LatestAudCol),0)</f>
        <v>0</v>
      </c>
      <c r="E7" s="264" t="str">
        <f ca="1">IF(LatestAudCol&lt;4,"Need ≥4yrs",IFERROR(_xludf.forecast.ets(LatestAudCol+1,INDEX('2_Operating_Statement'!C33:N33,1,1):INDEX('2_Operating_Statement'!C33:N33,1,LatestAudCol),ROW(INDIRECT("1:"&amp;LatestAudCol))),"—"))</f>
        <v>—</v>
      </c>
      <c r="F7" s="265" t="str">
        <f ca="1">IF(LatestAudCol&lt;4,"—",IFERROR(_xludf.forecast.ets.confint(LatestAudCol+1,INDEX('2_Operating_Statement'!C33:N33,1,1):INDEX('2_Operating_Statement'!C33:N33,1,LatestAudCol),ROW(INDIRECT("1:"&amp;LatestAudCol)),0.95),"—"))</f>
        <v>—</v>
      </c>
      <c r="G7" s="264" t="str">
        <f ca="1">IF(LatestAudCol&lt;4,"—",IFERROR(_xludf.forecast.ets(LatestAudCol+2,INDEX('2_Operating_Statement'!C33:N33,1,1):INDEX('2_Operating_Statement'!C33:N33,1,LatestAudCol),ROW(INDIRECT("1:"&amp;LatestAudCol))),"—"))</f>
        <v>—</v>
      </c>
      <c r="H7" s="265" t="str">
        <f ca="1">IF(LatestAudCol&lt;4,"—",IFERROR(_xludf.forecast.ets.confint(LatestAudCol+2,INDEX('2_Operating_Statement'!C33:N33,1,1):INDEX('2_Operating_Statement'!C33:N33,1,LatestAudCol),ROW(INDIRECT("1:"&amp;LatestAudCol)),0.95),"—"))</f>
        <v>—</v>
      </c>
      <c r="I7" s="34" t="str">
        <f ca="1">IF(NOT(ISNUMBER(E7)),"—",IF(E7&gt;D7*1.05,"↑ Growth",IF(E7&lt;D7*0.95,"↓ Decline","→ Flat")))</f>
        <v>—</v>
      </c>
      <c r="J7" s="266" t="str">
        <f ca="1">IFERROR(IF(NOT(ISNUMBER(E7)),"—",IF(D7=0,"—",E7/D7-1)),"—")</f>
        <v>—</v>
      </c>
      <c r="K7" s="34" t="str">
        <f ca="1">IF(NOT(ISNUMBER(J7)),"—",IF(J7&lt;-0.1,"🔴 &gt;10% decline projected",IF(J7&lt;0,"🟠 Decline projected",IF(J7&gt;0.5,"🟡 Aggressive growth — verify",IF(J7&gt;0.2,"🟢 Strong growth","🟢 Stable")))))</f>
        <v>—</v>
      </c>
      <c r="L7" s="173" t="s">
        <v>1723</v>
      </c>
    </row>
    <row r="8" spans="1:13" ht="15" customHeight="1" x14ac:dyDescent="0.55000000000000004">
      <c r="B8" s="50" t="s">
        <v>1538</v>
      </c>
      <c r="C8" t="s">
        <v>1724</v>
      </c>
      <c r="D8" s="263">
        <f>IFERROR(INDEX('8_Performance_Indicators'!C11:N11,1,LatestAudCol),0)</f>
        <v>0</v>
      </c>
      <c r="E8" s="264" t="str">
        <f ca="1">IF(LatestAudCol&lt;4,"Need ≥4yrs",IFERROR(_xludf.forecast.ets(LatestAudCol+1,INDEX('8_Performance_Indicators'!C11:N11,1,1):INDEX('8_Performance_Indicators'!C11:N11,1,LatestAudCol),ROW(INDIRECT("1:"&amp;LatestAudCol))),"—"))</f>
        <v>—</v>
      </c>
      <c r="F8" s="265" t="str">
        <f ca="1">IF(LatestAudCol&lt;4,"—",IFERROR(_xludf.forecast.ets.confint(LatestAudCol+1,INDEX('8_Performance_Indicators'!C11:N11,1,1):INDEX('8_Performance_Indicators'!C11:N11,1,LatestAudCol),ROW(INDIRECT("1:"&amp;LatestAudCol)),0.95),"—"))</f>
        <v>—</v>
      </c>
      <c r="G8" s="264" t="str">
        <f ca="1">IF(LatestAudCol&lt;4,"—",IFERROR(_xludf.forecast.ets(LatestAudCol+2,INDEX('8_Performance_Indicators'!C11:N11,1,1):INDEX('8_Performance_Indicators'!C11:N11,1,LatestAudCol),ROW(INDIRECT("1:"&amp;LatestAudCol))),"—"))</f>
        <v>—</v>
      </c>
      <c r="H8" s="265" t="str">
        <f ca="1">IF(LatestAudCol&lt;4,"—",IFERROR(_xludf.forecast.ets.confint(LatestAudCol+2,INDEX('8_Performance_Indicators'!C11:N11,1,1):INDEX('8_Performance_Indicators'!C11:N11,1,LatestAudCol),ROW(INDIRECT("1:"&amp;LatestAudCol)),0.95),"—"))</f>
        <v>—</v>
      </c>
      <c r="I8" s="34" t="str">
        <f ca="1">IF(NOT(ISNUMBER(E8)),"—",IF(E8&gt;D8*1.05,"↑ Growth",IF(E8&lt;D8*0.95,"↓ Decline","→ Flat")))</f>
        <v>—</v>
      </c>
      <c r="J8" s="266" t="str">
        <f ca="1">IFERROR(IF(NOT(ISNUMBER(E8)),"—",IF(D8=0,"—",E8/D8-1)),"—")</f>
        <v>—</v>
      </c>
      <c r="K8" s="34" t="str">
        <f ca="1">IF(NOT(ISNUMBER(J8)),"—",IF(J8&lt;-0.1,"🔴 &gt;10% decline projected",IF(J8&lt;0,"🟠 Decline projected",IF(J8&gt;0.5,"🟡 Aggressive growth — verify",IF(J8&gt;0.2,"🟢 Strong growth","🟢 Stable")))))</f>
        <v>—</v>
      </c>
      <c r="L8" s="173" t="s">
        <v>1725</v>
      </c>
    </row>
    <row r="9" spans="1:13" ht="15" customHeight="1" x14ac:dyDescent="0.55000000000000004">
      <c r="B9" s="50" t="s">
        <v>1541</v>
      </c>
      <c r="C9" t="s">
        <v>1726</v>
      </c>
      <c r="D9" s="263">
        <f>IFERROR(INDEX('2_Operating_Statement'!C58:N58,1,LatestAudCol),0)</f>
        <v>0</v>
      </c>
      <c r="E9" s="264" t="str">
        <f ca="1">IF(LatestAudCol&lt;4,"Need ≥4yrs",IFERROR(_xludf.forecast.ets(LatestAudCol+1,INDEX('2_Operating_Statement'!C58:N58,1,1):INDEX('2_Operating_Statement'!C58:N58,1,LatestAudCol),ROW(INDIRECT("1:"&amp;LatestAudCol))),"—"))</f>
        <v>—</v>
      </c>
      <c r="F9" s="265" t="str">
        <f ca="1">IF(LatestAudCol&lt;4,"—",IFERROR(_xludf.forecast.ets.confint(LatestAudCol+1,INDEX('2_Operating_Statement'!C58:N58,1,1):INDEX('2_Operating_Statement'!C58:N58,1,LatestAudCol),ROW(INDIRECT("1:"&amp;LatestAudCol)),0.95),"—"))</f>
        <v>—</v>
      </c>
      <c r="G9" s="264" t="str">
        <f ca="1">IF(LatestAudCol&lt;4,"—",IFERROR(_xludf.forecast.ets(LatestAudCol+2,INDEX('2_Operating_Statement'!C58:N58,1,1):INDEX('2_Operating_Statement'!C58:N58,1,LatestAudCol),ROW(INDIRECT("1:"&amp;LatestAudCol))),"—"))</f>
        <v>—</v>
      </c>
      <c r="H9" s="265" t="str">
        <f ca="1">IF(LatestAudCol&lt;4,"—",IFERROR(_xludf.forecast.ets.confint(LatestAudCol+2,INDEX('2_Operating_Statement'!C58:N58,1,1):INDEX('2_Operating_Statement'!C58:N58,1,LatestAudCol),ROW(INDIRECT("1:"&amp;LatestAudCol)),0.95),"—"))</f>
        <v>—</v>
      </c>
      <c r="I9" s="34" t="str">
        <f ca="1">IF(NOT(ISNUMBER(E9)),"—",IF(E9&gt;D9*1.05,"↑ Growth",IF(E9&lt;D9*0.95,"↓ Decline","→ Flat")))</f>
        <v>—</v>
      </c>
      <c r="J9" s="266" t="str">
        <f ca="1">IFERROR(IF(NOT(ISNUMBER(E9)),"—",IF(D9=0,"—",E9/D9-1)),"—")</f>
        <v>—</v>
      </c>
      <c r="K9" s="34" t="str">
        <f ca="1">IF(NOT(ISNUMBER(J9)),"—",IF(J9&lt;-0.1,"🔴 &gt;10% decline projected",IF(J9&lt;0,"🟠 Decline projected",IF(J9&gt;0.5,"🟡 Aggressive growth — verify",IF(J9&gt;0.2,"🟢 Strong growth","🟢 Stable")))))</f>
        <v>—</v>
      </c>
      <c r="L9" s="173" t="s">
        <v>1727</v>
      </c>
    </row>
    <row r="10" spans="1:13" ht="15" customHeight="1" x14ac:dyDescent="0.55000000000000004">
      <c r="B10" s="50" t="s">
        <v>1544</v>
      </c>
      <c r="C10" t="s">
        <v>1728</v>
      </c>
      <c r="D10" s="263">
        <f>IFERROR(INDEX('3_Balance_Sheet'!C108:N108,1,LatestAudCol),0)</f>
        <v>0</v>
      </c>
      <c r="E10" s="264" t="str">
        <f ca="1">IF(LatestAudCol&lt;4,"Need ≥4yrs",IFERROR(_xludf.forecast.ets(LatestAudCol+1,INDEX('3_Balance_Sheet'!C108:N108,1,1):INDEX('3_Balance_Sheet'!C108:N108,1,LatestAudCol),ROW(INDIRECT("1:"&amp;LatestAudCol))),"—"))</f>
        <v>—</v>
      </c>
      <c r="F10" s="265" t="str">
        <f ca="1">IF(LatestAudCol&lt;4,"—",IFERROR(_xludf.forecast.ets.confint(LatestAudCol+1,INDEX('3_Balance_Sheet'!C108:N108,1,1):INDEX('3_Balance_Sheet'!C108:N108,1,LatestAudCol),ROW(INDIRECT("1:"&amp;LatestAudCol)),0.95),"—"))</f>
        <v>—</v>
      </c>
      <c r="G10" s="264" t="str">
        <f ca="1">IF(LatestAudCol&lt;4,"—",IFERROR(_xludf.forecast.ets(LatestAudCol+2,INDEX('3_Balance_Sheet'!C108:N108,1,1):INDEX('3_Balance_Sheet'!C108:N108,1,LatestAudCol),ROW(INDIRECT("1:"&amp;LatestAudCol))),"—"))</f>
        <v>—</v>
      </c>
      <c r="H10" s="265" t="str">
        <f ca="1">IF(LatestAudCol&lt;4,"—",IFERROR(_xludf.forecast.ets.confint(LatestAudCol+2,INDEX('3_Balance_Sheet'!C108:N108,1,1):INDEX('3_Balance_Sheet'!C108:N108,1,LatestAudCol),ROW(INDIRECT("1:"&amp;LatestAudCol)),0.95),"—"))</f>
        <v>—</v>
      </c>
      <c r="I10" s="34" t="str">
        <f ca="1">IF(NOT(ISNUMBER(E10)),"—",IF(E10&gt;D10*1.05,"↑ Growth",IF(E10&lt;D10*0.95,"↓ Decline","→ Flat")))</f>
        <v>—</v>
      </c>
      <c r="J10" s="266" t="str">
        <f ca="1">IFERROR(IF(NOT(ISNUMBER(E10)),"—",IF(D10=0,"—",E10/D10-1)),"—")</f>
        <v>—</v>
      </c>
      <c r="K10" s="34" t="str">
        <f ca="1">IF(NOT(ISNUMBER(J10)),"—",IF(J10&lt;-0.1,"🔴 &gt;10% decline projected",IF(J10&lt;0,"🟠 Decline projected",IF(J10&gt;0.5,"🟡 Aggressive growth — verify",IF(J10&gt;0.2,"🟢 Strong growth","🟢 Stable")))))</f>
        <v>—</v>
      </c>
      <c r="L10" s="173" t="s">
        <v>1729</v>
      </c>
    </row>
    <row r="12" spans="1:13" ht="21.75" customHeight="1" x14ac:dyDescent="0.55000000000000004">
      <c r="B12" s="342" t="s">
        <v>1730</v>
      </c>
      <c r="C12" s="342"/>
      <c r="D12" s="342"/>
      <c r="E12" s="342"/>
      <c r="F12" s="342"/>
      <c r="G12" s="342"/>
      <c r="H12" s="342"/>
      <c r="I12" s="342"/>
      <c r="J12" s="342"/>
      <c r="K12" s="342"/>
      <c r="L12" s="342"/>
      <c r="M12" s="342"/>
    </row>
    <row r="14" spans="1:13" ht="15" customHeight="1" x14ac:dyDescent="0.55000000000000004">
      <c r="A14" s="324" t="s">
        <v>1731</v>
      </c>
      <c r="B14" s="324"/>
      <c r="C14" s="324"/>
      <c r="D14" s="324"/>
      <c r="E14" s="324"/>
      <c r="F14" s="324"/>
      <c r="G14" s="324"/>
      <c r="H14" s="324"/>
      <c r="I14" s="324"/>
      <c r="J14" s="324"/>
      <c r="K14" s="324"/>
      <c r="L14" s="324"/>
      <c r="M14" s="324"/>
    </row>
    <row r="15" spans="1:13" ht="15" customHeight="1" x14ac:dyDescent="0.55000000000000004">
      <c r="B15" s="326" t="s">
        <v>1732</v>
      </c>
      <c r="C15" s="326"/>
      <c r="D15" s="326"/>
      <c r="E15" s="326"/>
      <c r="F15" s="326"/>
      <c r="G15" s="326"/>
      <c r="H15" s="326"/>
      <c r="I15" s="326"/>
      <c r="J15" s="326"/>
      <c r="K15" s="326"/>
      <c r="L15" s="326"/>
      <c r="M15" s="326"/>
    </row>
    <row r="16" spans="1:13" ht="15" customHeight="1" x14ac:dyDescent="0.55000000000000004">
      <c r="B16" s="171" t="s">
        <v>1733</v>
      </c>
      <c r="D16" s="267">
        <v>46143</v>
      </c>
      <c r="E16" s="173" t="s">
        <v>1734</v>
      </c>
    </row>
    <row r="17" spans="2:13" ht="15" customHeight="1" x14ac:dyDescent="0.55000000000000004">
      <c r="B17" s="171" t="s">
        <v>1735</v>
      </c>
      <c r="D17" s="268">
        <f>IFERROR(INDEX('3_Balance_Sheet'!C11:N11,1,LatestAudCol),0)</f>
        <v>0</v>
      </c>
      <c r="E17" s="173" t="s">
        <v>1736</v>
      </c>
    </row>
    <row r="18" spans="2:13" ht="15" customHeight="1" x14ac:dyDescent="0.55000000000000004">
      <c r="B18" s="171" t="s">
        <v>1737</v>
      </c>
      <c r="D18" s="269">
        <v>0</v>
      </c>
      <c r="E18" s="173" t="s">
        <v>1738</v>
      </c>
    </row>
    <row r="19" spans="2:13" ht="15" customHeight="1" x14ac:dyDescent="0.55000000000000004">
      <c r="B19" s="171" t="s">
        <v>1739</v>
      </c>
      <c r="D19" s="268">
        <f>IFERROR(INDEX('3_Balance_Sheet'!C55:N55,1,LatestAudCol),0)</f>
        <v>0</v>
      </c>
      <c r="E19" s="173" t="s">
        <v>1740</v>
      </c>
    </row>
    <row r="20" spans="2:13" ht="15" customHeight="1" x14ac:dyDescent="0.55000000000000004">
      <c r="B20" s="326" t="s">
        <v>1741</v>
      </c>
      <c r="C20" s="326"/>
      <c r="D20" s="326"/>
      <c r="E20" s="326"/>
      <c r="F20" s="326"/>
      <c r="G20" s="326"/>
      <c r="H20" s="326"/>
      <c r="I20" s="326"/>
      <c r="J20" s="326"/>
      <c r="K20" s="326"/>
      <c r="L20" s="326"/>
      <c r="M20" s="326"/>
    </row>
    <row r="21" spans="2:13" ht="27.75" customHeight="1" x14ac:dyDescent="0.55000000000000004">
      <c r="B21" s="236" t="s">
        <v>1742</v>
      </c>
      <c r="C21" s="236" t="s">
        <v>1743</v>
      </c>
      <c r="D21" s="236" t="s">
        <v>1744</v>
      </c>
      <c r="E21" s="236" t="s">
        <v>1745</v>
      </c>
      <c r="F21" s="236" t="s">
        <v>1746</v>
      </c>
      <c r="G21" s="236" t="s">
        <v>1747</v>
      </c>
      <c r="H21" s="236" t="s">
        <v>6</v>
      </c>
    </row>
    <row r="22" spans="2:13" ht="15" customHeight="1" x14ac:dyDescent="0.55000000000000004">
      <c r="B22" s="270">
        <v>-25</v>
      </c>
      <c r="C22" s="271">
        <f>$D$16+-25*7</f>
        <v>45968</v>
      </c>
      <c r="D22" s="272"/>
      <c r="E22" s="272"/>
      <c r="F22" s="182">
        <f t="shared" ref="F22:F47" si="0">IFERROR(D22-E22,0)</f>
        <v>0</v>
      </c>
      <c r="G22" s="182">
        <f>$D$19+F22</f>
        <v>0</v>
      </c>
      <c r="H22" s="34" t="str">
        <f t="shared" ref="H22:H47" si="1">IF(AND(D22="",E22=""),"—",IF(G22&lt;0,"🔴 Cash Negative",IF(G22&lt;($D$19*0.1),"🟡 Cash&lt;10% Opening","🟢 OK")))</f>
        <v>—</v>
      </c>
    </row>
    <row r="23" spans="2:13" ht="15" customHeight="1" x14ac:dyDescent="0.55000000000000004">
      <c r="B23" s="270">
        <v>-24</v>
      </c>
      <c r="C23" s="271">
        <f>$D$16+-24*7</f>
        <v>45975</v>
      </c>
      <c r="D23" s="272"/>
      <c r="E23" s="272"/>
      <c r="F23" s="182">
        <f t="shared" si="0"/>
        <v>0</v>
      </c>
      <c r="G23" s="182">
        <f t="shared" ref="G23:G47" si="2">G22+F23</f>
        <v>0</v>
      </c>
      <c r="H23" s="34" t="str">
        <f t="shared" si="1"/>
        <v>—</v>
      </c>
    </row>
    <row r="24" spans="2:13" ht="15" customHeight="1" x14ac:dyDescent="0.55000000000000004">
      <c r="B24" s="270">
        <v>-23</v>
      </c>
      <c r="C24" s="271">
        <f>$D$16+-23*7</f>
        <v>45982</v>
      </c>
      <c r="D24" s="272"/>
      <c r="E24" s="272"/>
      <c r="F24" s="182">
        <f t="shared" si="0"/>
        <v>0</v>
      </c>
      <c r="G24" s="182">
        <f t="shared" si="2"/>
        <v>0</v>
      </c>
      <c r="H24" s="34" t="str">
        <f t="shared" si="1"/>
        <v>—</v>
      </c>
    </row>
    <row r="25" spans="2:13" ht="15" customHeight="1" x14ac:dyDescent="0.55000000000000004">
      <c r="B25" s="270">
        <v>-22</v>
      </c>
      <c r="C25" s="271">
        <f>$D$16+-22*7</f>
        <v>45989</v>
      </c>
      <c r="D25" s="272"/>
      <c r="E25" s="272"/>
      <c r="F25" s="182">
        <f t="shared" si="0"/>
        <v>0</v>
      </c>
      <c r="G25" s="182">
        <f t="shared" si="2"/>
        <v>0</v>
      </c>
      <c r="H25" s="34" t="str">
        <f t="shared" si="1"/>
        <v>—</v>
      </c>
    </row>
    <row r="26" spans="2:13" ht="15" customHeight="1" x14ac:dyDescent="0.55000000000000004">
      <c r="B26" s="270">
        <v>-21</v>
      </c>
      <c r="C26" s="271">
        <f>$D$16+-21*7</f>
        <v>45996</v>
      </c>
      <c r="D26" s="272"/>
      <c r="E26" s="272"/>
      <c r="F26" s="182">
        <f t="shared" si="0"/>
        <v>0</v>
      </c>
      <c r="G26" s="182">
        <f t="shared" si="2"/>
        <v>0</v>
      </c>
      <c r="H26" s="34" t="str">
        <f t="shared" si="1"/>
        <v>—</v>
      </c>
    </row>
    <row r="27" spans="2:13" ht="15" customHeight="1" x14ac:dyDescent="0.55000000000000004">
      <c r="B27" s="270">
        <v>-20</v>
      </c>
      <c r="C27" s="271">
        <f>$D$16+-20*7</f>
        <v>46003</v>
      </c>
      <c r="D27" s="272"/>
      <c r="E27" s="272"/>
      <c r="F27" s="182">
        <f t="shared" si="0"/>
        <v>0</v>
      </c>
      <c r="G27" s="182">
        <f t="shared" si="2"/>
        <v>0</v>
      </c>
      <c r="H27" s="34" t="str">
        <f t="shared" si="1"/>
        <v>—</v>
      </c>
    </row>
    <row r="28" spans="2:13" ht="15" customHeight="1" x14ac:dyDescent="0.55000000000000004">
      <c r="B28" s="270">
        <v>-19</v>
      </c>
      <c r="C28" s="271">
        <f>$D$16+-19*7</f>
        <v>46010</v>
      </c>
      <c r="D28" s="272"/>
      <c r="E28" s="272"/>
      <c r="F28" s="182">
        <f t="shared" si="0"/>
        <v>0</v>
      </c>
      <c r="G28" s="182">
        <f t="shared" si="2"/>
        <v>0</v>
      </c>
      <c r="H28" s="34" t="str">
        <f t="shared" si="1"/>
        <v>—</v>
      </c>
    </row>
    <row r="29" spans="2:13" ht="15" customHeight="1" x14ac:dyDescent="0.55000000000000004">
      <c r="B29" s="270">
        <v>-18</v>
      </c>
      <c r="C29" s="271">
        <f>$D$16+-18*7</f>
        <v>46017</v>
      </c>
      <c r="D29" s="272"/>
      <c r="E29" s="272"/>
      <c r="F29" s="182">
        <f t="shared" si="0"/>
        <v>0</v>
      </c>
      <c r="G29" s="182">
        <f t="shared" si="2"/>
        <v>0</v>
      </c>
      <c r="H29" s="34" t="str">
        <f t="shared" si="1"/>
        <v>—</v>
      </c>
    </row>
    <row r="30" spans="2:13" ht="15" customHeight="1" x14ac:dyDescent="0.55000000000000004">
      <c r="B30" s="270">
        <v>-17</v>
      </c>
      <c r="C30" s="271">
        <f>$D$16+-17*7</f>
        <v>46024</v>
      </c>
      <c r="D30" s="272"/>
      <c r="E30" s="272"/>
      <c r="F30" s="182">
        <f t="shared" si="0"/>
        <v>0</v>
      </c>
      <c r="G30" s="182">
        <f t="shared" si="2"/>
        <v>0</v>
      </c>
      <c r="H30" s="34" t="str">
        <f t="shared" si="1"/>
        <v>—</v>
      </c>
    </row>
    <row r="31" spans="2:13" ht="15" customHeight="1" x14ac:dyDescent="0.55000000000000004">
      <c r="B31" s="270">
        <v>-16</v>
      </c>
      <c r="C31" s="271">
        <f>$D$16+-16*7</f>
        <v>46031</v>
      </c>
      <c r="D31" s="272"/>
      <c r="E31" s="272"/>
      <c r="F31" s="182">
        <f t="shared" si="0"/>
        <v>0</v>
      </c>
      <c r="G31" s="182">
        <f t="shared" si="2"/>
        <v>0</v>
      </c>
      <c r="H31" s="34" t="str">
        <f t="shared" si="1"/>
        <v>—</v>
      </c>
    </row>
    <row r="32" spans="2:13" ht="15" customHeight="1" x14ac:dyDescent="0.55000000000000004">
      <c r="B32" s="270">
        <v>-15</v>
      </c>
      <c r="C32" s="271">
        <f>$D$16+-15*7</f>
        <v>46038</v>
      </c>
      <c r="D32" s="272"/>
      <c r="E32" s="272"/>
      <c r="F32" s="182">
        <f t="shared" si="0"/>
        <v>0</v>
      </c>
      <c r="G32" s="182">
        <f t="shared" si="2"/>
        <v>0</v>
      </c>
      <c r="H32" s="34" t="str">
        <f t="shared" si="1"/>
        <v>—</v>
      </c>
    </row>
    <row r="33" spans="2:14" ht="15" customHeight="1" x14ac:dyDescent="0.55000000000000004">
      <c r="B33" s="270">
        <v>-14</v>
      </c>
      <c r="C33" s="271">
        <f>$D$16+-14*7</f>
        <v>46045</v>
      </c>
      <c r="D33" s="272"/>
      <c r="E33" s="272"/>
      <c r="F33" s="182">
        <f t="shared" si="0"/>
        <v>0</v>
      </c>
      <c r="G33" s="182">
        <f t="shared" si="2"/>
        <v>0</v>
      </c>
      <c r="H33" s="34" t="str">
        <f t="shared" si="1"/>
        <v>—</v>
      </c>
    </row>
    <row r="34" spans="2:14" ht="15" customHeight="1" x14ac:dyDescent="0.55000000000000004">
      <c r="B34" s="270">
        <v>-13</v>
      </c>
      <c r="C34" s="271">
        <f>$D$16+-13*7</f>
        <v>46052</v>
      </c>
      <c r="D34" s="272"/>
      <c r="E34" s="272"/>
      <c r="F34" s="182">
        <f t="shared" si="0"/>
        <v>0</v>
      </c>
      <c r="G34" s="182">
        <f t="shared" si="2"/>
        <v>0</v>
      </c>
      <c r="H34" s="34" t="str">
        <f t="shared" si="1"/>
        <v>—</v>
      </c>
    </row>
    <row r="35" spans="2:14" ht="15" customHeight="1" x14ac:dyDescent="0.55000000000000004">
      <c r="B35" s="270">
        <v>-12</v>
      </c>
      <c r="C35" s="271">
        <f>$D$16+-12*7</f>
        <v>46059</v>
      </c>
      <c r="D35" s="272"/>
      <c r="E35" s="272"/>
      <c r="F35" s="182">
        <f t="shared" si="0"/>
        <v>0</v>
      </c>
      <c r="G35" s="182">
        <f t="shared" si="2"/>
        <v>0</v>
      </c>
      <c r="H35" s="34" t="str">
        <f t="shared" si="1"/>
        <v>—</v>
      </c>
    </row>
    <row r="36" spans="2:14" ht="15" customHeight="1" x14ac:dyDescent="0.55000000000000004">
      <c r="B36" s="270">
        <v>-11</v>
      </c>
      <c r="C36" s="271">
        <f>$D$16+-11*7</f>
        <v>46066</v>
      </c>
      <c r="D36" s="272"/>
      <c r="E36" s="272"/>
      <c r="F36" s="182">
        <f t="shared" si="0"/>
        <v>0</v>
      </c>
      <c r="G36" s="182">
        <f t="shared" si="2"/>
        <v>0</v>
      </c>
      <c r="H36" s="34" t="str">
        <f t="shared" si="1"/>
        <v>—</v>
      </c>
    </row>
    <row r="37" spans="2:14" ht="15" customHeight="1" x14ac:dyDescent="0.55000000000000004">
      <c r="B37" s="270">
        <v>-10</v>
      </c>
      <c r="C37" s="271">
        <f>$D$16+-10*7</f>
        <v>46073</v>
      </c>
      <c r="D37" s="272"/>
      <c r="E37" s="272"/>
      <c r="F37" s="182">
        <f t="shared" si="0"/>
        <v>0</v>
      </c>
      <c r="G37" s="182">
        <f t="shared" si="2"/>
        <v>0</v>
      </c>
      <c r="H37" s="34" t="str">
        <f t="shared" si="1"/>
        <v>—</v>
      </c>
    </row>
    <row r="38" spans="2:14" ht="15" customHeight="1" x14ac:dyDescent="0.55000000000000004">
      <c r="B38" s="270">
        <v>-9</v>
      </c>
      <c r="C38" s="271">
        <f>$D$16+-9*7</f>
        <v>46080</v>
      </c>
      <c r="D38" s="272"/>
      <c r="E38" s="272"/>
      <c r="F38" s="182">
        <f t="shared" si="0"/>
        <v>0</v>
      </c>
      <c r="G38" s="182">
        <f t="shared" si="2"/>
        <v>0</v>
      </c>
      <c r="H38" s="34" t="str">
        <f t="shared" si="1"/>
        <v>—</v>
      </c>
    </row>
    <row r="39" spans="2:14" ht="15" customHeight="1" x14ac:dyDescent="0.55000000000000004">
      <c r="B39" s="270">
        <v>-8</v>
      </c>
      <c r="C39" s="271">
        <f>$D$16+-8*7</f>
        <v>46087</v>
      </c>
      <c r="D39" s="272"/>
      <c r="E39" s="272"/>
      <c r="F39" s="182">
        <f t="shared" si="0"/>
        <v>0</v>
      </c>
      <c r="G39" s="182">
        <f t="shared" si="2"/>
        <v>0</v>
      </c>
      <c r="H39" s="34" t="str">
        <f t="shared" si="1"/>
        <v>—</v>
      </c>
    </row>
    <row r="40" spans="2:14" ht="15" customHeight="1" x14ac:dyDescent="0.55000000000000004">
      <c r="B40" s="270">
        <v>-7</v>
      </c>
      <c r="C40" s="271">
        <f>$D$16+-7*7</f>
        <v>46094</v>
      </c>
      <c r="D40" s="272"/>
      <c r="E40" s="272"/>
      <c r="F40" s="182">
        <f t="shared" si="0"/>
        <v>0</v>
      </c>
      <c r="G40" s="182">
        <f t="shared" si="2"/>
        <v>0</v>
      </c>
      <c r="H40" s="34" t="str">
        <f t="shared" si="1"/>
        <v>—</v>
      </c>
    </row>
    <row r="41" spans="2:14" ht="15" customHeight="1" x14ac:dyDescent="0.55000000000000004">
      <c r="B41" s="270">
        <v>-6</v>
      </c>
      <c r="C41" s="271">
        <f>$D$16+-6*7</f>
        <v>46101</v>
      </c>
      <c r="D41" s="272"/>
      <c r="E41" s="272"/>
      <c r="F41" s="182">
        <f t="shared" si="0"/>
        <v>0</v>
      </c>
      <c r="G41" s="182">
        <f t="shared" si="2"/>
        <v>0</v>
      </c>
      <c r="H41" s="34" t="str">
        <f t="shared" si="1"/>
        <v>—</v>
      </c>
    </row>
    <row r="42" spans="2:14" ht="15" customHeight="1" x14ac:dyDescent="0.55000000000000004">
      <c r="B42" s="270">
        <v>-5</v>
      </c>
      <c r="C42" s="271">
        <f>$D$16+-5*7</f>
        <v>46108</v>
      </c>
      <c r="D42" s="272"/>
      <c r="E42" s="272"/>
      <c r="F42" s="182">
        <f t="shared" si="0"/>
        <v>0</v>
      </c>
      <c r="G42" s="182">
        <f t="shared" si="2"/>
        <v>0</v>
      </c>
      <c r="H42" s="34" t="str">
        <f t="shared" si="1"/>
        <v>—</v>
      </c>
    </row>
    <row r="43" spans="2:14" ht="15" customHeight="1" x14ac:dyDescent="0.55000000000000004">
      <c r="B43" s="270">
        <v>-4</v>
      </c>
      <c r="C43" s="271">
        <f>$D$16+-4*7</f>
        <v>46115</v>
      </c>
      <c r="D43" s="272"/>
      <c r="E43" s="272"/>
      <c r="F43" s="182">
        <f t="shared" si="0"/>
        <v>0</v>
      </c>
      <c r="G43" s="182">
        <f t="shared" si="2"/>
        <v>0</v>
      </c>
      <c r="H43" s="34" t="str">
        <f t="shared" si="1"/>
        <v>—</v>
      </c>
    </row>
    <row r="44" spans="2:14" ht="15" customHeight="1" x14ac:dyDescent="0.55000000000000004">
      <c r="B44" s="270">
        <v>-3</v>
      </c>
      <c r="C44" s="271">
        <f>$D$16+-3*7</f>
        <v>46122</v>
      </c>
      <c r="D44" s="272"/>
      <c r="E44" s="272"/>
      <c r="F44" s="182">
        <f t="shared" si="0"/>
        <v>0</v>
      </c>
      <c r="G44" s="182">
        <f t="shared" si="2"/>
        <v>0</v>
      </c>
      <c r="H44" s="34" t="str">
        <f t="shared" si="1"/>
        <v>—</v>
      </c>
    </row>
    <row r="45" spans="2:14" ht="15" customHeight="1" x14ac:dyDescent="0.55000000000000004">
      <c r="B45" s="270">
        <v>-2</v>
      </c>
      <c r="C45" s="271">
        <f>$D$16+-2*7</f>
        <v>46129</v>
      </c>
      <c r="D45" s="272"/>
      <c r="E45" s="272"/>
      <c r="F45" s="182">
        <f t="shared" si="0"/>
        <v>0</v>
      </c>
      <c r="G45" s="182">
        <f t="shared" si="2"/>
        <v>0</v>
      </c>
      <c r="H45" s="34" t="str">
        <f t="shared" si="1"/>
        <v>—</v>
      </c>
    </row>
    <row r="46" spans="2:14" ht="15" customHeight="1" x14ac:dyDescent="0.55000000000000004">
      <c r="B46" s="270">
        <v>-1</v>
      </c>
      <c r="C46" s="271">
        <f>$D$16+-1*7</f>
        <v>46136</v>
      </c>
      <c r="D46" s="272"/>
      <c r="E46" s="272"/>
      <c r="F46" s="182">
        <f t="shared" si="0"/>
        <v>0</v>
      </c>
      <c r="G46" s="182">
        <f t="shared" si="2"/>
        <v>0</v>
      </c>
      <c r="H46" s="34" t="str">
        <f t="shared" si="1"/>
        <v>—</v>
      </c>
    </row>
    <row r="47" spans="2:14" ht="15" customHeight="1" x14ac:dyDescent="0.55000000000000004">
      <c r="B47" s="270">
        <v>0</v>
      </c>
      <c r="C47" s="271">
        <f>$D$16+0*7</f>
        <v>46143</v>
      </c>
      <c r="D47" s="272"/>
      <c r="E47" s="272"/>
      <c r="F47" s="182">
        <f t="shared" si="0"/>
        <v>0</v>
      </c>
      <c r="G47" s="182">
        <f t="shared" si="2"/>
        <v>0</v>
      </c>
      <c r="H47" s="34" t="str">
        <f t="shared" si="1"/>
        <v>—</v>
      </c>
    </row>
    <row r="48" spans="2:14" ht="15" customHeight="1" x14ac:dyDescent="0.55000000000000004">
      <c r="B48" s="326" t="s">
        <v>1748</v>
      </c>
      <c r="C48" s="326"/>
      <c r="D48" s="326"/>
      <c r="E48" s="326"/>
      <c r="F48" s="326"/>
      <c r="G48" s="326"/>
      <c r="H48" s="326"/>
      <c r="I48" s="326"/>
      <c r="J48" s="326"/>
      <c r="K48" s="326"/>
      <c r="L48" s="326"/>
      <c r="M48" s="326"/>
      <c r="N48" s="273" t="s">
        <v>1749</v>
      </c>
    </row>
    <row r="49" spans="2:14" ht="15" customHeight="1" x14ac:dyDescent="0.55000000000000004">
      <c r="B49" s="274" t="s">
        <v>1750</v>
      </c>
      <c r="C49" s="271">
        <f>$D$16+1*7</f>
        <v>46150</v>
      </c>
      <c r="D49" s="275" t="str">
        <f>IF(COUNT($D$22:$D$47)&lt;8,"Need ≥8 wks",IFERROR(_xludf.forecast.ets(C49,$D$22:$D$47,$C$22:$C$47),"—"))</f>
        <v>Need ≥8 wks</v>
      </c>
      <c r="E49" s="275" t="str">
        <f>IF(COUNT($E$22:$E$47)&lt;8,"Need ≥8 wks",IFERROR(_xludf.forecast.ets(C49,$E$22:$E$47,$C$22:$C$47),"—"))</f>
        <v>Need ≥8 wks</v>
      </c>
      <c r="F49" s="182" t="str">
        <f t="shared" ref="F49:F61" si="3">IF(OR(NOT(ISNUMBER(D49)),NOT(ISNUMBER(E49))),"—",D49-E49)</f>
        <v>—</v>
      </c>
      <c r="G49" s="182" t="str">
        <f>IF(NOT(ISNUMBER(F49)),"—",G47+F49)</f>
        <v>—</v>
      </c>
      <c r="H49" s="34" t="str">
        <f t="shared" ref="H49:H61" si="4">IF(NOT(ISNUMBER(G49)),"—",IF(G49+$D$17&lt;0,"🔴 BREACH (incl. CC limit)",IF(G49&lt;$D$18,"🟠 Cash&lt;min buffer",IF(G49&lt;0,"🟡 Cash negative — CC drawdown needed","🟢 OK"))))</f>
        <v>—</v>
      </c>
      <c r="N49" s="276">
        <f t="shared" ref="N49:N61" si="5">IFERROR(G49+0,9900000000000000)</f>
        <v>9900000000000000</v>
      </c>
    </row>
    <row r="50" spans="2:14" ht="15" customHeight="1" x14ac:dyDescent="0.55000000000000004">
      <c r="B50" s="274" t="s">
        <v>1751</v>
      </c>
      <c r="C50" s="271">
        <f>$D$16+2*7</f>
        <v>46157</v>
      </c>
      <c r="D50" s="275" t="str">
        <f>IF(COUNT($D$22:$D$47)&lt;8,"Need ≥8 wks",IFERROR(_xludf.forecast.ets(C50,$D$22:$D$47,$C$22:$C$47),"—"))</f>
        <v>Need ≥8 wks</v>
      </c>
      <c r="E50" s="275" t="str">
        <f>IF(COUNT($E$22:$E$47)&lt;8,"Need ≥8 wks",IFERROR(_xludf.forecast.ets(C50,$E$22:$E$47,$C$22:$C$47),"—"))</f>
        <v>Need ≥8 wks</v>
      </c>
      <c r="F50" s="182" t="str">
        <f t="shared" si="3"/>
        <v>—</v>
      </c>
      <c r="G50" s="182" t="str">
        <f t="shared" ref="G50:G61" si="6">IF(NOT(ISNUMBER(F50)),"—",G49+F50)</f>
        <v>—</v>
      </c>
      <c r="H50" s="34" t="str">
        <f t="shared" si="4"/>
        <v>—</v>
      </c>
      <c r="N50" s="276">
        <f t="shared" si="5"/>
        <v>9900000000000000</v>
      </c>
    </row>
    <row r="51" spans="2:14" ht="15" customHeight="1" x14ac:dyDescent="0.55000000000000004">
      <c r="B51" s="274" t="s">
        <v>1752</v>
      </c>
      <c r="C51" s="271">
        <f>$D$16+3*7</f>
        <v>46164</v>
      </c>
      <c r="D51" s="275" t="str">
        <f>IF(COUNT($D$22:$D$47)&lt;8,"Need ≥8 wks",IFERROR(_xludf.forecast.ets(C51,$D$22:$D$47,$C$22:$C$47),"—"))</f>
        <v>Need ≥8 wks</v>
      </c>
      <c r="E51" s="275" t="str">
        <f>IF(COUNT($E$22:$E$47)&lt;8,"Need ≥8 wks",IFERROR(_xludf.forecast.ets(C51,$E$22:$E$47,$C$22:$C$47),"—"))</f>
        <v>Need ≥8 wks</v>
      </c>
      <c r="F51" s="182" t="str">
        <f t="shared" si="3"/>
        <v>—</v>
      </c>
      <c r="G51" s="182" t="str">
        <f t="shared" si="6"/>
        <v>—</v>
      </c>
      <c r="H51" s="34" t="str">
        <f t="shared" si="4"/>
        <v>—</v>
      </c>
      <c r="N51" s="276">
        <f t="shared" si="5"/>
        <v>9900000000000000</v>
      </c>
    </row>
    <row r="52" spans="2:14" ht="15" customHeight="1" x14ac:dyDescent="0.55000000000000004">
      <c r="B52" s="274" t="s">
        <v>1753</v>
      </c>
      <c r="C52" s="271">
        <f>$D$16+4*7</f>
        <v>46171</v>
      </c>
      <c r="D52" s="275" t="str">
        <f>IF(COUNT($D$22:$D$47)&lt;8,"Need ≥8 wks",IFERROR(_xludf.forecast.ets(C52,$D$22:$D$47,$C$22:$C$47),"—"))</f>
        <v>Need ≥8 wks</v>
      </c>
      <c r="E52" s="275" t="str">
        <f>IF(COUNT($E$22:$E$47)&lt;8,"Need ≥8 wks",IFERROR(_xludf.forecast.ets(C52,$E$22:$E$47,$C$22:$C$47),"—"))</f>
        <v>Need ≥8 wks</v>
      </c>
      <c r="F52" s="182" t="str">
        <f t="shared" si="3"/>
        <v>—</v>
      </c>
      <c r="G52" s="182" t="str">
        <f t="shared" si="6"/>
        <v>—</v>
      </c>
      <c r="H52" s="34" t="str">
        <f t="shared" si="4"/>
        <v>—</v>
      </c>
      <c r="N52" s="276">
        <f t="shared" si="5"/>
        <v>9900000000000000</v>
      </c>
    </row>
    <row r="53" spans="2:14" ht="15" customHeight="1" x14ac:dyDescent="0.55000000000000004">
      <c r="B53" s="274" t="s">
        <v>1754</v>
      </c>
      <c r="C53" s="271">
        <f>$D$16+5*7</f>
        <v>46178</v>
      </c>
      <c r="D53" s="275" t="str">
        <f>IF(COUNT($D$22:$D$47)&lt;8,"Need ≥8 wks",IFERROR(_xludf.forecast.ets(C53,$D$22:$D$47,$C$22:$C$47),"—"))</f>
        <v>Need ≥8 wks</v>
      </c>
      <c r="E53" s="275" t="str">
        <f>IF(COUNT($E$22:$E$47)&lt;8,"Need ≥8 wks",IFERROR(_xludf.forecast.ets(C53,$E$22:$E$47,$C$22:$C$47),"—"))</f>
        <v>Need ≥8 wks</v>
      </c>
      <c r="F53" s="182" t="str">
        <f t="shared" si="3"/>
        <v>—</v>
      </c>
      <c r="G53" s="182" t="str">
        <f t="shared" si="6"/>
        <v>—</v>
      </c>
      <c r="H53" s="34" t="str">
        <f t="shared" si="4"/>
        <v>—</v>
      </c>
      <c r="N53" s="276">
        <f t="shared" si="5"/>
        <v>9900000000000000</v>
      </c>
    </row>
    <row r="54" spans="2:14" ht="15" customHeight="1" x14ac:dyDescent="0.55000000000000004">
      <c r="B54" s="274" t="s">
        <v>1755</v>
      </c>
      <c r="C54" s="271">
        <f>$D$16+6*7</f>
        <v>46185</v>
      </c>
      <c r="D54" s="275" t="str">
        <f>IF(COUNT($D$22:$D$47)&lt;8,"Need ≥8 wks",IFERROR(_xludf.forecast.ets(C54,$D$22:$D$47,$C$22:$C$47),"—"))</f>
        <v>Need ≥8 wks</v>
      </c>
      <c r="E54" s="275" t="str">
        <f>IF(COUNT($E$22:$E$47)&lt;8,"Need ≥8 wks",IFERROR(_xludf.forecast.ets(C54,$E$22:$E$47,$C$22:$C$47),"—"))</f>
        <v>Need ≥8 wks</v>
      </c>
      <c r="F54" s="182" t="str">
        <f t="shared" si="3"/>
        <v>—</v>
      </c>
      <c r="G54" s="182" t="str">
        <f t="shared" si="6"/>
        <v>—</v>
      </c>
      <c r="H54" s="34" t="str">
        <f t="shared" si="4"/>
        <v>—</v>
      </c>
      <c r="N54" s="276">
        <f t="shared" si="5"/>
        <v>9900000000000000</v>
      </c>
    </row>
    <row r="55" spans="2:14" ht="15" customHeight="1" x14ac:dyDescent="0.55000000000000004">
      <c r="B55" s="274" t="s">
        <v>1756</v>
      </c>
      <c r="C55" s="271">
        <f>$D$16+7*7</f>
        <v>46192</v>
      </c>
      <c r="D55" s="275" t="str">
        <f>IF(COUNT($D$22:$D$47)&lt;8,"Need ≥8 wks",IFERROR(_xludf.forecast.ets(C55,$D$22:$D$47,$C$22:$C$47),"—"))</f>
        <v>Need ≥8 wks</v>
      </c>
      <c r="E55" s="275" t="str">
        <f>IF(COUNT($E$22:$E$47)&lt;8,"Need ≥8 wks",IFERROR(_xludf.forecast.ets(C55,$E$22:$E$47,$C$22:$C$47),"—"))</f>
        <v>Need ≥8 wks</v>
      </c>
      <c r="F55" s="182" t="str">
        <f t="shared" si="3"/>
        <v>—</v>
      </c>
      <c r="G55" s="182" t="str">
        <f t="shared" si="6"/>
        <v>—</v>
      </c>
      <c r="H55" s="34" t="str">
        <f t="shared" si="4"/>
        <v>—</v>
      </c>
      <c r="N55" s="276">
        <f t="shared" si="5"/>
        <v>9900000000000000</v>
      </c>
    </row>
    <row r="56" spans="2:14" ht="15" customHeight="1" x14ac:dyDescent="0.55000000000000004">
      <c r="B56" s="274" t="s">
        <v>1757</v>
      </c>
      <c r="C56" s="271">
        <f>$D$16+8*7</f>
        <v>46199</v>
      </c>
      <c r="D56" s="275" t="str">
        <f>IF(COUNT($D$22:$D$47)&lt;8,"Need ≥8 wks",IFERROR(_xludf.forecast.ets(C56,$D$22:$D$47,$C$22:$C$47),"—"))</f>
        <v>Need ≥8 wks</v>
      </c>
      <c r="E56" s="275" t="str">
        <f>IF(COUNT($E$22:$E$47)&lt;8,"Need ≥8 wks",IFERROR(_xludf.forecast.ets(C56,$E$22:$E$47,$C$22:$C$47),"—"))</f>
        <v>Need ≥8 wks</v>
      </c>
      <c r="F56" s="182" t="str">
        <f t="shared" si="3"/>
        <v>—</v>
      </c>
      <c r="G56" s="182" t="str">
        <f t="shared" si="6"/>
        <v>—</v>
      </c>
      <c r="H56" s="34" t="str">
        <f t="shared" si="4"/>
        <v>—</v>
      </c>
      <c r="N56" s="276">
        <f t="shared" si="5"/>
        <v>9900000000000000</v>
      </c>
    </row>
    <row r="57" spans="2:14" ht="15" customHeight="1" x14ac:dyDescent="0.55000000000000004">
      <c r="B57" s="274" t="s">
        <v>1758</v>
      </c>
      <c r="C57" s="271">
        <f>$D$16+9*7</f>
        <v>46206</v>
      </c>
      <c r="D57" s="275" t="str">
        <f>IF(COUNT($D$22:$D$47)&lt;8,"Need ≥8 wks",IFERROR(_xludf.forecast.ets(C57,$D$22:$D$47,$C$22:$C$47),"—"))</f>
        <v>Need ≥8 wks</v>
      </c>
      <c r="E57" s="275" t="str">
        <f>IF(COUNT($E$22:$E$47)&lt;8,"Need ≥8 wks",IFERROR(_xludf.forecast.ets(C57,$E$22:$E$47,$C$22:$C$47),"—"))</f>
        <v>Need ≥8 wks</v>
      </c>
      <c r="F57" s="182" t="str">
        <f t="shared" si="3"/>
        <v>—</v>
      </c>
      <c r="G57" s="182" t="str">
        <f t="shared" si="6"/>
        <v>—</v>
      </c>
      <c r="H57" s="34" t="str">
        <f t="shared" si="4"/>
        <v>—</v>
      </c>
      <c r="N57" s="276">
        <f t="shared" si="5"/>
        <v>9900000000000000</v>
      </c>
    </row>
    <row r="58" spans="2:14" ht="15" customHeight="1" x14ac:dyDescent="0.55000000000000004">
      <c r="B58" s="274" t="s">
        <v>1759</v>
      </c>
      <c r="C58" s="271">
        <f>$D$16+10*7</f>
        <v>46213</v>
      </c>
      <c r="D58" s="275" t="str">
        <f>IF(COUNT($D$22:$D$47)&lt;8,"Need ≥8 wks",IFERROR(_xludf.forecast.ets(C58,$D$22:$D$47,$C$22:$C$47),"—"))</f>
        <v>Need ≥8 wks</v>
      </c>
      <c r="E58" s="275" t="str">
        <f>IF(COUNT($E$22:$E$47)&lt;8,"Need ≥8 wks",IFERROR(_xludf.forecast.ets(C58,$E$22:$E$47,$C$22:$C$47),"—"))</f>
        <v>Need ≥8 wks</v>
      </c>
      <c r="F58" s="182" t="str">
        <f t="shared" si="3"/>
        <v>—</v>
      </c>
      <c r="G58" s="182" t="str">
        <f t="shared" si="6"/>
        <v>—</v>
      </c>
      <c r="H58" s="34" t="str">
        <f t="shared" si="4"/>
        <v>—</v>
      </c>
      <c r="N58" s="276">
        <f t="shared" si="5"/>
        <v>9900000000000000</v>
      </c>
    </row>
    <row r="59" spans="2:14" ht="15" customHeight="1" x14ac:dyDescent="0.55000000000000004">
      <c r="B59" s="274" t="s">
        <v>1760</v>
      </c>
      <c r="C59" s="271">
        <f>$D$16+11*7</f>
        <v>46220</v>
      </c>
      <c r="D59" s="275" t="str">
        <f>IF(COUNT($D$22:$D$47)&lt;8,"Need ≥8 wks",IFERROR(_xludf.forecast.ets(C59,$D$22:$D$47,$C$22:$C$47),"—"))</f>
        <v>Need ≥8 wks</v>
      </c>
      <c r="E59" s="275" t="str">
        <f>IF(COUNT($E$22:$E$47)&lt;8,"Need ≥8 wks",IFERROR(_xludf.forecast.ets(C59,$E$22:$E$47,$C$22:$C$47),"—"))</f>
        <v>Need ≥8 wks</v>
      </c>
      <c r="F59" s="182" t="str">
        <f t="shared" si="3"/>
        <v>—</v>
      </c>
      <c r="G59" s="182" t="str">
        <f t="shared" si="6"/>
        <v>—</v>
      </c>
      <c r="H59" s="34" t="str">
        <f t="shared" si="4"/>
        <v>—</v>
      </c>
      <c r="N59" s="276">
        <f t="shared" si="5"/>
        <v>9900000000000000</v>
      </c>
    </row>
    <row r="60" spans="2:14" ht="15" customHeight="1" x14ac:dyDescent="0.55000000000000004">
      <c r="B60" s="274" t="s">
        <v>1761</v>
      </c>
      <c r="C60" s="271">
        <f>$D$16+12*7</f>
        <v>46227</v>
      </c>
      <c r="D60" s="275" t="str">
        <f>IF(COUNT($D$22:$D$47)&lt;8,"Need ≥8 wks",IFERROR(_xludf.forecast.ets(C60,$D$22:$D$47,$C$22:$C$47),"—"))</f>
        <v>Need ≥8 wks</v>
      </c>
      <c r="E60" s="275" t="str">
        <f>IF(COUNT($E$22:$E$47)&lt;8,"Need ≥8 wks",IFERROR(_xludf.forecast.ets(C60,$E$22:$E$47,$C$22:$C$47),"—"))</f>
        <v>Need ≥8 wks</v>
      </c>
      <c r="F60" s="182" t="str">
        <f t="shared" si="3"/>
        <v>—</v>
      </c>
      <c r="G60" s="182" t="str">
        <f t="shared" si="6"/>
        <v>—</v>
      </c>
      <c r="H60" s="34" t="str">
        <f t="shared" si="4"/>
        <v>—</v>
      </c>
      <c r="N60" s="276">
        <f t="shared" si="5"/>
        <v>9900000000000000</v>
      </c>
    </row>
    <row r="61" spans="2:14" ht="15" customHeight="1" x14ac:dyDescent="0.55000000000000004">
      <c r="B61" s="274" t="s">
        <v>1762</v>
      </c>
      <c r="C61" s="271">
        <f>$D$16+13*7</f>
        <v>46234</v>
      </c>
      <c r="D61" s="275" t="str">
        <f>IF(COUNT($D$22:$D$47)&lt;8,"Need ≥8 wks",IFERROR(_xludf.forecast.ets(C61,$D$22:$D$47,$C$22:$C$47),"—"))</f>
        <v>Need ≥8 wks</v>
      </c>
      <c r="E61" s="275" t="str">
        <f>IF(COUNT($E$22:$E$47)&lt;8,"Need ≥8 wks",IFERROR(_xludf.forecast.ets(C61,$E$22:$E$47,$C$22:$C$47),"—"))</f>
        <v>Need ≥8 wks</v>
      </c>
      <c r="F61" s="182" t="str">
        <f t="shared" si="3"/>
        <v>—</v>
      </c>
      <c r="G61" s="182" t="str">
        <f t="shared" si="6"/>
        <v>—</v>
      </c>
      <c r="H61" s="34" t="str">
        <f t="shared" si="4"/>
        <v>—</v>
      </c>
      <c r="N61" s="276">
        <f t="shared" si="5"/>
        <v>9900000000000000</v>
      </c>
    </row>
    <row r="62" spans="2:14" ht="15" customHeight="1" x14ac:dyDescent="0.55000000000000004">
      <c r="B62" s="326" t="s">
        <v>1763</v>
      </c>
      <c r="C62" s="326"/>
      <c r="D62" s="326"/>
      <c r="E62" s="326"/>
      <c r="F62" s="326"/>
      <c r="G62" s="326"/>
      <c r="H62" s="326"/>
      <c r="I62" s="326"/>
      <c r="J62" s="326"/>
      <c r="K62" s="326"/>
      <c r="L62" s="326"/>
      <c r="M62" s="326"/>
    </row>
    <row r="63" spans="2:14" ht="15" customHeight="1" x14ac:dyDescent="0.55000000000000004">
      <c r="B63" s="171" t="s">
        <v>1764</v>
      </c>
      <c r="D63" s="347" t="str">
        <f>IFERROR(IF(MIN(N49:N61)&gt;=0,"✓ No cash-negative week in 13W horizon","Wk +"&amp;MATCH(TRUE(),N49:N61&lt;0,0)&amp;" — "&amp;TEXT(INDEX(C49:C61,MATCH(TRUE(),N49:N61&lt;0,0)),"yyyy-mm-dd")&amp;" (cum cash: ₹"&amp;TEXT(INDEX(N49:N61,MATCH(TRUE(),N49:N61&lt;0,0)),"#,##0")&amp;" Cr)"),"⚠ Insufficient data")</f>
        <v>✓ No cash-negative week in 13W horizon</v>
      </c>
      <c r="E63" s="347"/>
      <c r="F63" s="347"/>
      <c r="G63" s="347"/>
      <c r="H63" s="347"/>
      <c r="I63" s="347"/>
      <c r="J63" s="347"/>
      <c r="K63" s="347"/>
      <c r="L63" s="347"/>
      <c r="M63" s="347"/>
    </row>
    <row r="64" spans="2:14" ht="21.75" customHeight="1" x14ac:dyDescent="0.55000000000000004">
      <c r="B64" s="171" t="s">
        <v>1765</v>
      </c>
      <c r="D64" s="348" t="str">
        <f>IFERROR(IF(MIN(N49:N61)+$D$17&gt;=0,"✓ Stays within sanctioned CC limit through 13W horizon","🔴 Wk +"&amp;MATCH(TRUE(),N49:N61&lt;-$D$17,0)&amp;" — "&amp;TEXT(INDEX(C49:C61,MATCH(TRUE(),N49:N61&lt;-$D$17,0)),"yyyy-mm-dd")&amp;" — REQUIRES enhancement of CC limit or fresh equity"),"⚠ Insufficient data")</f>
        <v>✓ Stays within sanctioned CC limit through 13W horizon</v>
      </c>
      <c r="E64" s="348"/>
      <c r="F64" s="348"/>
      <c r="G64" s="348"/>
      <c r="H64" s="348"/>
      <c r="I64" s="348"/>
      <c r="J64" s="348"/>
      <c r="K64" s="348"/>
      <c r="L64" s="348"/>
      <c r="M64" s="348"/>
    </row>
    <row r="65" spans="1:13" ht="15" customHeight="1" x14ac:dyDescent="0.55000000000000004">
      <c r="B65" s="171" t="s">
        <v>1766</v>
      </c>
      <c r="D65" s="349" t="str">
        <f>IF(COUNT(D49:D61)=0,"⚠ Paste ≥8 weeks of historical receipts/disbursements first","₹"&amp;TEXT(MIN(N49:N61),"#,##0.00")&amp;" Cr — in Wk +"&amp;MATCH(MIN(N49:N61),N49:N61,0))</f>
        <v>⚠ Paste ≥8 weeks of historical receipts/disbursements first</v>
      </c>
      <c r="E65" s="349"/>
      <c r="F65" s="349"/>
      <c r="G65" s="349"/>
      <c r="H65" s="349"/>
      <c r="I65" s="349"/>
      <c r="J65" s="349"/>
      <c r="K65" s="349"/>
      <c r="L65" s="349"/>
      <c r="M65" s="349"/>
    </row>
    <row r="66" spans="1:13" ht="21.75" customHeight="1" x14ac:dyDescent="0.55000000000000004">
      <c r="B66" s="350" t="s">
        <v>1767</v>
      </c>
      <c r="C66" s="350"/>
      <c r="D66" s="350"/>
      <c r="E66" s="350"/>
      <c r="F66" s="350"/>
      <c r="G66" s="350"/>
      <c r="H66" s="350"/>
      <c r="I66" s="350"/>
      <c r="J66" s="350"/>
      <c r="K66" s="350"/>
      <c r="L66" s="350"/>
      <c r="M66" s="350"/>
    </row>
    <row r="67" spans="1:13" ht="15" customHeight="1" x14ac:dyDescent="0.55000000000000004">
      <c r="A67" s="324" t="s">
        <v>1768</v>
      </c>
      <c r="B67" s="324"/>
      <c r="C67" s="324"/>
      <c r="D67" s="324"/>
      <c r="E67" s="324"/>
      <c r="F67" s="324"/>
      <c r="G67" s="324"/>
      <c r="H67" s="324"/>
      <c r="I67" s="324"/>
      <c r="J67" s="324"/>
      <c r="K67" s="324"/>
      <c r="L67" s="324"/>
      <c r="M67" s="324"/>
    </row>
    <row r="68" spans="1:13" ht="30" customHeight="1" x14ac:dyDescent="0.55000000000000004">
      <c r="B68" s="236" t="s">
        <v>1769</v>
      </c>
      <c r="C68" s="236" t="s">
        <v>1770</v>
      </c>
      <c r="D68" s="236" t="s">
        <v>1771</v>
      </c>
      <c r="E68" s="236" t="s">
        <v>1772</v>
      </c>
      <c r="F68" s="236" t="s">
        <v>1773</v>
      </c>
      <c r="G68" s="236" t="s">
        <v>1774</v>
      </c>
      <c r="H68" s="236" t="s">
        <v>1775</v>
      </c>
      <c r="I68" s="236" t="s">
        <v>1776</v>
      </c>
      <c r="J68" s="236" t="s">
        <v>1777</v>
      </c>
      <c r="K68" s="236" t="s">
        <v>1778</v>
      </c>
    </row>
    <row r="69" spans="1:13" ht="15" customHeight="1" x14ac:dyDescent="0.55000000000000004">
      <c r="B69" t="s">
        <v>1779</v>
      </c>
      <c r="C69" s="34" t="str">
        <f>IF(COUNT($D$22:$D$47)&lt;8,"&lt;8 wks",IFERROR(_xludf.forecast.ets.seasonality($D$22:$D$47,$C$22:$C$47),"none"))</f>
        <v>&lt;8 wks</v>
      </c>
      <c r="D69" s="277" t="str">
        <f>IF(COUNT($D$22:$D$47)&lt;8,"—",IFERROR(_xludf.forecast.ets.stat($D$22:$D$47,$C$22:$C$47,1),"—"))</f>
        <v>—</v>
      </c>
      <c r="E69" s="277" t="str">
        <f>IF(COUNT($D$22:$D$47)&lt;8,"—",IFERROR(_xludf.forecast.ets.stat($D$22:$D$47,$C$22:$C$47,2),"—"))</f>
        <v>—</v>
      </c>
      <c r="F69" s="277" t="str">
        <f>IF(COUNT($D$22:$D$47)&lt;8,"—",IFERROR(_xludf.forecast.ets.stat($D$22:$D$47,$C$22:$C$47,3),"—"))</f>
        <v>—</v>
      </c>
      <c r="G69" s="277" t="str">
        <f>IF(COUNT($D$22:$D$47)&lt;8,"—",IFERROR(_xludf.forecast.ets.stat($D$22:$D$47,$C$22:$C$47,4),"—"))</f>
        <v>—</v>
      </c>
      <c r="H69" s="278" t="str">
        <f>IF(COUNT($D$22:$D$47)&lt;8,"—",IFERROR(_xludf.forecast.ets.stat($D$22:$D$47,$C$22:$C$47,5),"—"))</f>
        <v>—</v>
      </c>
      <c r="I69" s="277" t="str">
        <f>IF(COUNT($D$22:$D$47)&lt;8,"—",IFERROR(_xludf.forecast.ets.stat($D$22:$D$47,$C$22:$C$47,6),"—"))</f>
        <v>—</v>
      </c>
      <c r="J69" s="277" t="str">
        <f>IF(COUNT($D$22:$D$47)&lt;8,"—",IFERROR(_xludf.forecast.ets.stat($D$22:$D$47,$C$22:$C$47,7),"—"))</f>
        <v>—</v>
      </c>
      <c r="K69" s="34" t="str">
        <f>IF(NOT(ISNUMBER(H69)),"—",IF(H69&lt;0.1,"🟢 Excellent fit",IF(H69&lt;0.2,"🟢 Good fit",IF(H69&lt;0.5,"🟡 Acceptable","🔴 Poor — interpret with caution"))))</f>
        <v>—</v>
      </c>
    </row>
    <row r="70" spans="1:13" ht="15" customHeight="1" x14ac:dyDescent="0.55000000000000004">
      <c r="B70" t="s">
        <v>1780</v>
      </c>
      <c r="C70" s="34" t="str">
        <f>IF(COUNT($E$22:$E$47)&lt;8,"&lt;8 wks",IFERROR(_xludf.forecast.ets.seasonality($E$22:$E$47,$C$22:$C$47),"none"))</f>
        <v>&lt;8 wks</v>
      </c>
      <c r="D70" s="277" t="str">
        <f>IF(COUNT($E$22:$E$47)&lt;8,"—",IFERROR(_xludf.forecast.ets.stat($E$22:$E$47,$C$22:$C$47,1),"—"))</f>
        <v>—</v>
      </c>
      <c r="E70" s="277" t="str">
        <f>IF(COUNT($E$22:$E$47)&lt;8,"—",IFERROR(_xludf.forecast.ets.stat($E$22:$E$47,$C$22:$C$47,2),"—"))</f>
        <v>—</v>
      </c>
      <c r="F70" s="277" t="str">
        <f>IF(COUNT($E$22:$E$47)&lt;8,"—",IFERROR(_xludf.forecast.ets.stat($E$22:$E$47,$C$22:$C$47,3),"—"))</f>
        <v>—</v>
      </c>
      <c r="G70" s="277" t="str">
        <f>IF(COUNT($E$22:$E$47)&lt;8,"—",IFERROR(_xludf.forecast.ets.stat($E$22:$E$47,$C$22:$C$47,4),"—"))</f>
        <v>—</v>
      </c>
      <c r="H70" s="278" t="str">
        <f>IF(COUNT($E$22:$E$47)&lt;8,"—",IFERROR(_xludf.forecast.ets.stat($E$22:$E$47,$C$22:$C$47,5),"—"))</f>
        <v>—</v>
      </c>
      <c r="I70" s="277" t="str">
        <f>IF(COUNT($E$22:$E$47)&lt;8,"—",IFERROR(_xludf.forecast.ets.stat($E$22:$E$47,$C$22:$C$47,6),"—"))</f>
        <v>—</v>
      </c>
      <c r="J70" s="277" t="str">
        <f>IF(COUNT($E$22:$E$47)&lt;8,"—",IFERROR(_xludf.forecast.ets.stat($E$22:$E$47,$C$22:$C$47,7),"—"))</f>
        <v>—</v>
      </c>
      <c r="K70" s="34" t="str">
        <f>IF(NOT(ISNUMBER(H70)),"—",IF(H70&lt;0.1,"🟢 Excellent fit",IF(H70&lt;0.2,"🟢 Good fit",IF(H70&lt;0.5,"🟡 Acceptable","🔴 Poor — interpret with caution"))))</f>
        <v>—</v>
      </c>
    </row>
    <row r="71" spans="1:13" ht="15" customHeight="1" x14ac:dyDescent="0.55000000000000004">
      <c r="B71" t="s">
        <v>1781</v>
      </c>
      <c r="C71" s="34" t="str">
        <f ca="1">IF(LatestAudCol&lt;4,"&lt;4 yrs",IFERROR(_xludf.forecast.ets.seasonality(INDEX('2_Operating_Statement'!C13:N13,1,1):INDEX('2_Operating_Statement'!C13:N13,1,LatestAudCol),ROW(INDIRECT("1:"&amp;LatestAudCol))),"none"))</f>
        <v>none</v>
      </c>
      <c r="D71" s="277" t="str">
        <f ca="1">IF(LatestAudCol&lt;4,"—",IFERROR(_xludf.forecast.ets.stat(INDEX('2_Operating_Statement'!C13:N13,1,1):INDEX('2_Operating_Statement'!C13:N13,1,LatestAudCol),ROW(INDIRECT("1:"&amp;LatestAudCol)),1),"—"))</f>
        <v>—</v>
      </c>
      <c r="E71" s="277" t="str">
        <f ca="1">IF(LatestAudCol&lt;4,"—",IFERROR(_xludf.forecast.ets.stat(INDEX('2_Operating_Statement'!C13:N13,1,1):INDEX('2_Operating_Statement'!C13:N13,1,LatestAudCol),ROW(INDIRECT("1:"&amp;LatestAudCol)),2),"—"))</f>
        <v>—</v>
      </c>
      <c r="F71" s="277" t="str">
        <f ca="1">IF(LatestAudCol&lt;4,"—",IFERROR(_xludf.forecast.ets.stat(INDEX('2_Operating_Statement'!C13:N13,1,1):INDEX('2_Operating_Statement'!C13:N13,1,LatestAudCol),ROW(INDIRECT("1:"&amp;LatestAudCol)),3),"—"))</f>
        <v>—</v>
      </c>
      <c r="G71" s="277" t="str">
        <f ca="1">IF(LatestAudCol&lt;4,"—",IFERROR(_xludf.forecast.ets.stat(INDEX('2_Operating_Statement'!C13:N13,1,1):INDEX('2_Operating_Statement'!C13:N13,1,LatestAudCol),ROW(INDIRECT("1:"&amp;LatestAudCol)),4),"—"))</f>
        <v>—</v>
      </c>
      <c r="H71" s="278" t="str">
        <f ca="1">IF(LatestAudCol&lt;4,"—",IFERROR(_xludf.forecast.ets.stat(INDEX('2_Operating_Statement'!C13:N13,1,1):INDEX('2_Operating_Statement'!C13:N13,1,LatestAudCol),ROW(INDIRECT("1:"&amp;LatestAudCol)),5),"—"))</f>
        <v>—</v>
      </c>
      <c r="I71" s="277" t="str">
        <f ca="1">IF(LatestAudCol&lt;4,"—",IFERROR(_xludf.forecast.ets.stat(INDEX('2_Operating_Statement'!C13:N13,1,1):INDEX('2_Operating_Statement'!C13:N13,1,LatestAudCol),ROW(INDIRECT("1:"&amp;LatestAudCol)),6),"—"))</f>
        <v>—</v>
      </c>
      <c r="J71" s="277" t="str">
        <f ca="1">IF(LatestAudCol&lt;4,"—",IFERROR(_xludf.forecast.ets.stat(INDEX('2_Operating_Statement'!C13:N13,1,1):INDEX('2_Operating_Statement'!C13:N13,1,LatestAudCol),ROW(INDIRECT("1:"&amp;LatestAudCol)),7),"—"))</f>
        <v>—</v>
      </c>
      <c r="K71" s="34" t="str">
        <f ca="1">IF(NOT(ISNUMBER(H71)),"—",IF(H71&lt;0.1,"🟢 Excellent fit",IF(H71&lt;0.2,"🟢 Good fit",IF(H71&lt;0.5,"🟡 Acceptable","🔴 Poor — interpret with caution"))))</f>
        <v>—</v>
      </c>
    </row>
    <row r="72" spans="1:13" ht="15" customHeight="1" x14ac:dyDescent="0.55000000000000004">
      <c r="B72" t="s">
        <v>1782</v>
      </c>
      <c r="C72" s="34" t="str">
        <f ca="1">IF(LatestAudCol&lt;4,"&lt;4 yrs",IFERROR(_xludf.forecast.ets.seasonality(INDEX('2_Operating_Statement'!C33:N33,1,1):INDEX('2_Operating_Statement'!C33:N33,1,LatestAudCol),ROW(INDIRECT("1:"&amp;LatestAudCol))),"none"))</f>
        <v>none</v>
      </c>
      <c r="D72" s="277" t="str">
        <f ca="1">IF(LatestAudCol&lt;4,"—",IFERROR(_xludf.forecast.ets.stat(INDEX('2_Operating_Statement'!C33:N33,1,1):INDEX('2_Operating_Statement'!C33:N33,1,LatestAudCol),ROW(INDIRECT("1:"&amp;LatestAudCol)),1),"—"))</f>
        <v>—</v>
      </c>
      <c r="E72" s="277" t="str">
        <f ca="1">IF(LatestAudCol&lt;4,"—",IFERROR(_xludf.forecast.ets.stat(INDEX('2_Operating_Statement'!C33:N33,1,1):INDEX('2_Operating_Statement'!C33:N33,1,LatestAudCol),ROW(INDIRECT("1:"&amp;LatestAudCol)),2),"—"))</f>
        <v>—</v>
      </c>
      <c r="F72" s="277" t="str">
        <f ca="1">IF(LatestAudCol&lt;4,"—",IFERROR(_xludf.forecast.ets.stat(INDEX('2_Operating_Statement'!C33:N33,1,1):INDEX('2_Operating_Statement'!C33:N33,1,LatestAudCol),ROW(INDIRECT("1:"&amp;LatestAudCol)),3),"—"))</f>
        <v>—</v>
      </c>
      <c r="G72" s="277" t="str">
        <f ca="1">IF(LatestAudCol&lt;4,"—",IFERROR(_xludf.forecast.ets.stat(INDEX('2_Operating_Statement'!C33:N33,1,1):INDEX('2_Operating_Statement'!C33:N33,1,LatestAudCol),ROW(INDIRECT("1:"&amp;LatestAudCol)),4),"—"))</f>
        <v>—</v>
      </c>
      <c r="H72" s="278" t="str">
        <f ca="1">IF(LatestAudCol&lt;4,"—",IFERROR(_xludf.forecast.ets.stat(INDEX('2_Operating_Statement'!C33:N33,1,1):INDEX('2_Operating_Statement'!C33:N33,1,LatestAudCol),ROW(INDIRECT("1:"&amp;LatestAudCol)),5),"—"))</f>
        <v>—</v>
      </c>
      <c r="I72" s="277" t="str">
        <f ca="1">IF(LatestAudCol&lt;4,"—",IFERROR(_xludf.forecast.ets.stat(INDEX('2_Operating_Statement'!C33:N33,1,1):INDEX('2_Operating_Statement'!C33:N33,1,LatestAudCol),ROW(INDIRECT("1:"&amp;LatestAudCol)),6),"—"))</f>
        <v>—</v>
      </c>
      <c r="J72" s="277" t="str">
        <f ca="1">IF(LatestAudCol&lt;4,"—",IFERROR(_xludf.forecast.ets.stat(INDEX('2_Operating_Statement'!C33:N33,1,1):INDEX('2_Operating_Statement'!C33:N33,1,LatestAudCol),ROW(INDIRECT("1:"&amp;LatestAudCol)),7),"—"))</f>
        <v>—</v>
      </c>
      <c r="K72" s="34" t="str">
        <f ca="1">IF(NOT(ISNUMBER(H72)),"—",IF(H72&lt;0.1,"🟢 Excellent fit",IF(H72&lt;0.2,"🟢 Good fit",IF(H72&lt;0.5,"🟡 Acceptable","🔴 Poor — interpret with caution"))))</f>
        <v>—</v>
      </c>
    </row>
    <row r="74" spans="1:13" ht="30" customHeight="1" x14ac:dyDescent="0.55000000000000004">
      <c r="B74" s="342" t="s">
        <v>1783</v>
      </c>
      <c r="C74" s="342"/>
      <c r="D74" s="342"/>
      <c r="E74" s="342"/>
      <c r="F74" s="342"/>
      <c r="G74" s="342"/>
      <c r="H74" s="342"/>
      <c r="I74" s="342"/>
      <c r="J74" s="342"/>
      <c r="K74" s="342"/>
      <c r="L74" s="342"/>
      <c r="M74" s="342"/>
    </row>
    <row r="75" spans="1:13" ht="31.5" customHeight="1" x14ac:dyDescent="0.55000000000000004">
      <c r="B75" s="342" t="s">
        <v>1784</v>
      </c>
      <c r="C75" s="342"/>
      <c r="D75" s="342"/>
      <c r="E75" s="342"/>
      <c r="F75" s="342"/>
      <c r="G75" s="342"/>
      <c r="H75" s="342"/>
      <c r="I75" s="342"/>
      <c r="J75" s="342"/>
      <c r="K75" s="342"/>
      <c r="L75" s="342"/>
      <c r="M75" s="342"/>
    </row>
    <row r="76" spans="1:13" ht="15" customHeight="1" x14ac:dyDescent="0.55000000000000004">
      <c r="A76" s="324" t="s">
        <v>1785</v>
      </c>
      <c r="B76" s="324"/>
      <c r="C76" s="324"/>
      <c r="D76" s="324"/>
      <c r="E76" s="324"/>
      <c r="F76" s="324"/>
      <c r="G76" s="324"/>
      <c r="H76" s="324"/>
      <c r="I76" s="324"/>
      <c r="J76" s="324"/>
      <c r="K76" s="324"/>
      <c r="L76" s="324"/>
      <c r="M76" s="324"/>
    </row>
    <row r="77" spans="1:13" ht="30" customHeight="1" x14ac:dyDescent="0.55000000000000004">
      <c r="B77" s="325" t="s">
        <v>1786</v>
      </c>
      <c r="C77" s="325"/>
      <c r="D77" s="325"/>
      <c r="E77" s="325"/>
      <c r="F77" s="325"/>
      <c r="G77" s="325"/>
      <c r="H77" s="325"/>
      <c r="I77" s="325"/>
      <c r="J77" s="325"/>
      <c r="K77" s="325"/>
      <c r="L77" s="325"/>
      <c r="M77" s="325"/>
    </row>
    <row r="79" spans="1:13" ht="30" customHeight="1" x14ac:dyDescent="0.55000000000000004">
      <c r="B79" s="325" t="s">
        <v>1333</v>
      </c>
      <c r="C79" s="325"/>
      <c r="D79" s="325"/>
      <c r="E79" s="325"/>
      <c r="F79" s="325"/>
      <c r="G79" s="325"/>
      <c r="H79" s="325"/>
      <c r="I79" s="325"/>
      <c r="J79" s="325"/>
      <c r="K79" s="325"/>
      <c r="L79" s="325"/>
      <c r="M79" s="325"/>
    </row>
    <row r="80" spans="1:13" ht="30" customHeight="1" x14ac:dyDescent="0.55000000000000004">
      <c r="B80" s="325" t="s">
        <v>1787</v>
      </c>
      <c r="C80" s="325"/>
      <c r="D80" s="325"/>
      <c r="E80" s="325"/>
      <c r="F80" s="325"/>
      <c r="G80" s="325"/>
      <c r="H80" s="325"/>
      <c r="I80" s="325"/>
      <c r="J80" s="325"/>
      <c r="K80" s="325"/>
      <c r="L80" s="325"/>
      <c r="M80" s="325"/>
    </row>
    <row r="81" spans="2:13" ht="30" customHeight="1" x14ac:dyDescent="0.55000000000000004">
      <c r="B81" s="325" t="s">
        <v>1788</v>
      </c>
      <c r="C81" s="325"/>
      <c r="D81" s="325"/>
      <c r="E81" s="325"/>
      <c r="F81" s="325"/>
      <c r="G81" s="325"/>
      <c r="H81" s="325"/>
      <c r="I81" s="325"/>
      <c r="J81" s="325"/>
      <c r="K81" s="325"/>
      <c r="L81" s="325"/>
      <c r="M81" s="325"/>
    </row>
    <row r="82" spans="2:13" ht="30" customHeight="1" x14ac:dyDescent="0.55000000000000004">
      <c r="B82" s="325" t="s">
        <v>1789</v>
      </c>
      <c r="C82" s="325"/>
      <c r="D82" s="325"/>
      <c r="E82" s="325"/>
      <c r="F82" s="325"/>
      <c r="G82" s="325"/>
      <c r="H82" s="325"/>
      <c r="I82" s="325"/>
      <c r="J82" s="325"/>
      <c r="K82" s="325"/>
      <c r="L82" s="325"/>
      <c r="M82" s="325"/>
    </row>
    <row r="83" spans="2:13" ht="30" customHeight="1" x14ac:dyDescent="0.55000000000000004">
      <c r="B83" s="325" t="s">
        <v>1790</v>
      </c>
      <c r="C83" s="325"/>
      <c r="D83" s="325"/>
      <c r="E83" s="325"/>
      <c r="F83" s="325"/>
      <c r="G83" s="325"/>
      <c r="H83" s="325"/>
      <c r="I83" s="325"/>
      <c r="J83" s="325"/>
      <c r="K83" s="325"/>
      <c r="L83" s="325"/>
      <c r="M83" s="325"/>
    </row>
    <row r="84" spans="2:13" ht="30" customHeight="1" x14ac:dyDescent="0.55000000000000004">
      <c r="B84" s="325" t="s">
        <v>1791</v>
      </c>
      <c r="C84" s="325"/>
      <c r="D84" s="325"/>
      <c r="E84" s="325"/>
      <c r="F84" s="325"/>
      <c r="G84" s="325"/>
      <c r="H84" s="325"/>
      <c r="I84" s="325"/>
      <c r="J84" s="325"/>
      <c r="K84" s="325"/>
      <c r="L84" s="325"/>
      <c r="M84" s="325"/>
    </row>
    <row r="86" spans="2:13" ht="30" customHeight="1" x14ac:dyDescent="0.55000000000000004">
      <c r="B86" s="325" t="s">
        <v>1792</v>
      </c>
      <c r="C86" s="325"/>
      <c r="D86" s="325"/>
      <c r="E86" s="325"/>
      <c r="F86" s="325"/>
      <c r="G86" s="325"/>
      <c r="H86" s="325"/>
      <c r="I86" s="325"/>
      <c r="J86" s="325"/>
      <c r="K86" s="325"/>
      <c r="L86" s="325"/>
      <c r="M86" s="325"/>
    </row>
  </sheetData>
  <mergeCells count="25">
    <mergeCell ref="B81:M81"/>
    <mergeCell ref="B82:M82"/>
    <mergeCell ref="B83:M83"/>
    <mergeCell ref="B84:M84"/>
    <mergeCell ref="B86:M86"/>
    <mergeCell ref="B75:M75"/>
    <mergeCell ref="A76:M76"/>
    <mergeCell ref="B77:M77"/>
    <mergeCell ref="B79:M79"/>
    <mergeCell ref="B80:M80"/>
    <mergeCell ref="D64:M64"/>
    <mergeCell ref="D65:M65"/>
    <mergeCell ref="B66:M66"/>
    <mergeCell ref="A67:M67"/>
    <mergeCell ref="B74:M74"/>
    <mergeCell ref="B15:M15"/>
    <mergeCell ref="B20:M20"/>
    <mergeCell ref="B48:M48"/>
    <mergeCell ref="B62:M62"/>
    <mergeCell ref="D63:M63"/>
    <mergeCell ref="A1:M1"/>
    <mergeCell ref="A2:M2"/>
    <mergeCell ref="A4:M4"/>
    <mergeCell ref="B12:M12"/>
    <mergeCell ref="A14:M14"/>
  </mergeCell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61"/>
  <sheetViews>
    <sheetView zoomScaleNormal="100" workbookViewId="0"/>
  </sheetViews>
  <sheetFormatPr defaultColWidth="8.68359375" defaultRowHeight="14.4" x14ac:dyDescent="0.55000000000000004"/>
  <cols>
    <col min="1" max="1" width="5" customWidth="1"/>
    <col min="2" max="2" width="110" customWidth="1"/>
  </cols>
  <sheetData>
    <row r="1" spans="1:2" ht="24" customHeight="1" x14ac:dyDescent="0.55000000000000004">
      <c r="A1" s="339" t="str">
        <f ca="1">CONCATENATE("CREDIT JUSTIFICATION MEMORANDUM  |  ",BorrowerName,"  |  CIF: ",CustomerID,"  |  Generated: ",TEXT(TODAY(),"dd-mmm-yyyy"))</f>
        <v>CREDIT JUSTIFICATION MEMORANDUM  |    |  CIF:   |  Generated: 08-May-2026</v>
      </c>
      <c r="B1" s="339"/>
    </row>
    <row r="2" spans="1:2" ht="25.5" customHeight="1" x14ac:dyDescent="0.55000000000000004">
      <c r="A2" s="342" t="s">
        <v>1793</v>
      </c>
      <c r="B2" s="342"/>
    </row>
    <row r="4" spans="1:2" ht="15" customHeight="1" x14ac:dyDescent="0.55000000000000004">
      <c r="A4" s="324" t="s">
        <v>1794</v>
      </c>
      <c r="B4" s="324"/>
    </row>
    <row r="5" spans="1:2" ht="79.5" customHeight="1" x14ac:dyDescent="0.55000000000000004">
      <c r="A5" s="351" t="str">
        <f>IF(AND(IFERROR(INDEX('2_Operating_Statement'!C13:N13,1,LatestAudCol),0)=0,IFERROR(INDEX('3_Balance_Sheet'!C108:N108,1,LatestAudCol),0)=0),"⚪ AWAITING DATA — Populate Operating Statement and Balance Sheet to generate Credit Memorandum.","M/s "&amp;BorrowerName&amp;" ("&amp;IndustryName&amp;" sector, internal rating: "&amp;InternalRating&amp;") seeks "&amp;LOWER(ProposalType)&amp;" of credit facilities. The probabilistic credit model assigns a default probability of "&amp;IFERROR(TEXT(Ohlson_PD_Latest,"0.0%"),"—")&amp;" ("&amp;IFERROR(Ohlson_Class_Latest,"—")&amp;"). Causal stress testing under "&amp;LOWER(Cascade_Selected_Scenario)&amp;" at "&amp;IFERROR(TEXT(Cascade_Severity,"0%"),"—")&amp;" severity yields a stressed DSCR of "&amp;IFERROR(TEXT(Cascade_DSCR,"0.00x"),"—")&amp;", with the model verdict: "&amp;IFERROR(Cascade_Verdict,"—")&amp;".")</f>
        <v>⚪ AWAITING DATA — Populate Operating Statement and Balance Sheet to generate Credit Memorandum.</v>
      </c>
      <c r="B5" s="351"/>
    </row>
    <row r="7" spans="1:2" ht="15" customHeight="1" x14ac:dyDescent="0.55000000000000004">
      <c r="A7" s="324" t="s">
        <v>1795</v>
      </c>
      <c r="B7" s="324"/>
    </row>
    <row r="8" spans="1:2" ht="21.75" customHeight="1" x14ac:dyDescent="0.55000000000000004">
      <c r="A8" s="279" t="s">
        <v>1796</v>
      </c>
      <c r="B8" s="280" t="str">
        <f>IFERROR(TEXT(Ohlson_PD_Latest,"0.0%")&amp;"  ("&amp;Ohlson_Class_Latest&amp;")","— Insufficient data")</f>
        <v>21.1%  (🟡 ELEVATED)</v>
      </c>
    </row>
    <row r="9" spans="1:2" ht="21.75" customHeight="1" x14ac:dyDescent="0.55000000000000004">
      <c r="A9" s="279" t="s">
        <v>1797</v>
      </c>
      <c r="B9" s="280" t="str">
        <f>IFERROR(Anomaly_Master_Verdict,"— Run anomaly module")</f>
        <v>🟢 NORMAL — No statistical anomalies across all three engines.</v>
      </c>
    </row>
    <row r="10" spans="1:2" ht="21.75" customHeight="1" x14ac:dyDescent="0.55000000000000004">
      <c r="A10" s="279" t="s">
        <v>68</v>
      </c>
      <c r="B10" s="280" t="str">
        <f>IFERROR(TEXT(Cascade_DSCR,"0.00x")&amp;"  ("&amp;Cascade_Verdict&amp;")","— Run cascade")</f>
        <v>0.00x  (🔴 DEBT SERVICE FAILURE)</v>
      </c>
    </row>
    <row r="11" spans="1:2" ht="21.75" customHeight="1" x14ac:dyDescent="0.55000000000000004">
      <c r="A11" s="279" t="s">
        <v>1798</v>
      </c>
      <c r="B11" s="280" t="str">
        <f>IFERROR(IF(LEFT(Bankable_Breach_Week,1)="🔴",Bankable_Breach_Week,IF(LEFT(Liquidity_Breach_Week,1)="✓","🟢 "&amp;Liquidity_Breach_Week,"🟠 "&amp;Liquidity_Breach_Week)),"— Run forecast")</f>
        <v>🟢 ✓ No cash-negative week in 13W horizon</v>
      </c>
    </row>
    <row r="12" spans="1:2" ht="21.75" customHeight="1" x14ac:dyDescent="0.55000000000000004">
      <c r="A12" s="279" t="s">
        <v>1799</v>
      </c>
      <c r="B12" s="280" t="str">
        <f>IFERROR(EWS_Verdict&amp;"  ("&amp;EWS_TotalPoints&amp;" pts, "&amp;EWS_HighCount&amp;" high)","—")</f>
        <v>🟢 NORMAL — STANDARD MONITORING  (0 pts, 0 high)</v>
      </c>
    </row>
    <row r="13" spans="1:2" ht="21.75" customHeight="1" x14ac:dyDescent="0.55000000000000004">
      <c r="A13" s="279" t="s">
        <v>1800</v>
      </c>
      <c r="B13" s="280" t="str">
        <f>IFERROR(TEXT(ESG_TotalScore,"0")&amp;" / 100","—")</f>
        <v>50 / 100</v>
      </c>
    </row>
    <row r="15" spans="1:2" ht="15" customHeight="1" x14ac:dyDescent="0.55000000000000004">
      <c r="A15" s="324" t="s">
        <v>1801</v>
      </c>
      <c r="B15" s="324"/>
    </row>
    <row r="16" spans="1:2" ht="109.5" customHeight="1" x14ac:dyDescent="0.55000000000000004">
      <c r="A16" s="281" t="s">
        <v>1802</v>
      </c>
      <c r="B16" s="282" t="str">
        <f ca="1">"The borrower's operations are anchored in the "&amp;IndustryName&amp;" sector. Net sales for the latest audited year stood at ₹"&amp;TEXT(IFERROR(INDEX('2_Operating_Statement'!C13:N13,1,LatestAudCol),0),"#,##0")&amp;" Cr, representing a year-on-year "&amp;IF(IFERROR((INDEX('2_Operating_Statement'!C13:N13,1,LatestAudCol)/INDEX('2_Operating_Statement'!C13:N13,1,PriorAudCol))-1,0)&gt;=0.2,"robust expansion of "&amp;TEXT(IFERROR((INDEX('2_Operating_Statement'!C13:N13,1,LatestAudCol)/INDEX('2_Operating_Statement'!C13:N13,1,PriorAudCol))-1,0),"0.0%")&amp;" — outpacing nominal GDP",IF(IFERROR((INDEX('2_Operating_Statement'!C13:N13,1,LatestAudCol)/INDEX('2_Operating_Statement'!C13:N13,1,PriorAudCol))-1,0)&gt;=0,"growth of "&amp;TEXT(IFERROR((INDEX('2_Operating_Statement'!C13:N13,1,LatestAudCol)/INDEX('2_Operating_Statement'!C13:N13,1,PriorAudCol))-1,0),"0.0%")&amp;" — broadly aligned with sectoral trends","contraction of "&amp;TEXT(IFERROR((INDEX('2_Operating_Statement'!C13:N13,1,LatestAudCol)/INDEX('2_Operating_Statement'!C13:N13,1,PriorAudCol))-1,0),"0.0%")&amp;" — a material concern requiring root-cause investigation"))&amp;". Operating profit margin closed at "&amp;TEXT(IFERROR(INDEX('2_Operating_Statement'!C33:N33,1,LatestAudCol)/INDEX('2_Operating_Statement'!C13:N13,1,LatestAudCol),0),"0.0%")&amp;", which is "&amp;IF(IFERROR(INDEX('2_Operating_Statement'!C33:N33,1,LatestAudCol)/INDEX('2_Operating_Statement'!C13:N13,1,LatestAudCol),0)&gt;=0.15,"healthy and indicative of pricing power",IF(IFERROR(INDEX('2_Operating_Statement'!C33:N33,1,LatestAudCol)/INDEX('2_Operating_Statement'!C13:N13,1,LatestAudCol),0)&gt;=0.08,"adequate but with limited cushion against input cost shocks",IF(IFERROR(INDEX('2_Operating_Statement'!C33:N33,1,LatestAudCol)/INDEX('2_Operating_Statement'!C13:N13,1,LatestAudCol),0)&gt;=0,"thin and vulnerable to operational shocks","NEGATIVE — operations are loss-making at the gross level")))&amp;". Profit after tax of ₹"&amp;TEXT(IFERROR(INDEX('2_Operating_Statement'!C58:N58,1,LatestAudCol),0),"#,##0")&amp;" Cr "&amp;IF(IFERROR(INDEX('2_Operating_Statement'!C58:N58,1,LatestAudCol),0)&gt;=0,"reflects the cumulative effect of operations, finance costs, and tax provisions","represents a NET LOSS, eroding tangible net worth and triggering enhanced provisioning consideration")&amp;". The FORECAST.ETS engine projects Year+1 net sales of "&amp;IF(NOT(ISNUMBER(Forecast_Sales_Yr1)),"insufficient historical data for forecasting (≥4 audited years required)","₹"&amp;TEXT(Forecast_Sales_Yr1,"#,##0")&amp;" Cr — implying a "&amp;TEXT(IFERROR(Forecast_Sales_Yr1/INDEX('2_Operating_Statement'!C13:N13,1,LatestAudCol)-1,0),"+0.0%;-0.0%")&amp;" forward trajectory based on Holt-Winters smoothing of the historical series")&amp;"."</f>
        <v>The borrower's operations are anchored in the  sector. Net sales for the latest audited year stood at ₹0 Cr, representing a year-on-year growth of 0.0% — broadly aligned with sectoral trends. Operating profit margin closed at 0.0%, which is thin and vulnerable to operational shocks. Profit after tax of ₹0 Cr reflects the cumulative effect of operations, finance costs, and tax provisions. The FORECAST.ETS engine projects Year+1 net sales of insufficient historical data for forecasting (≥4 audited years required).</v>
      </c>
    </row>
    <row r="18" spans="1:2" ht="15" customHeight="1" x14ac:dyDescent="0.55000000000000004">
      <c r="A18" s="324" t="s">
        <v>1803</v>
      </c>
      <c r="B18" s="324"/>
    </row>
    <row r="19" spans="1:2" ht="129.75" customHeight="1" x14ac:dyDescent="0.55000000000000004">
      <c r="A19" s="281" t="s">
        <v>1804</v>
      </c>
      <c r="B19" s="282" t="str">
        <f>"Balance sheet metrics indicate "&amp;IF(IFERROR(INDEX('3_Balance_Sheet'!C82:N82,1,LatestAudCol)/INDEX('3_Balance_Sheet'!C27:N27,1,LatestAudCol),0)&gt;=1.33,"comfortable short-term liquidity (Current Ratio: "&amp;TEXT(IFERROR(INDEX('3_Balance_Sheet'!C82:N82,1,LatestAudCol)/INDEX('3_Balance_Sheet'!C27:N27,1,LatestAudCol),0),"0.00")&amp;"x)",IF(IFERROR(INDEX('3_Balance_Sheet'!C82:N82,1,LatestAudCol)/INDEX('3_Balance_Sheet'!C27:N27,1,LatestAudCol),0)&gt;=MinCR,"adequate liquidity (Current Ratio: "&amp;TEXT(IFERROR(INDEX('3_Balance_Sheet'!C82:N82,1,LatestAudCol)/INDEX('3_Balance_Sheet'!C27:N27,1,LatestAudCol),0),"0.00")&amp;"x, just above minimum threshold)","liquidity STRESS — Current Ratio of "&amp;TEXT(IFERROR(INDEX('3_Balance_Sheet'!C82:N82,1,LatestAudCol)/INDEX('3_Balance_Sheet'!C27:N27,1,LatestAudCol),0),"0.00")&amp;"x is below the policy minimum of "&amp;TEXT(MinCR,"0.00")&amp;"x"))&amp;". Leverage profile "&amp;IF(IFERROR(INDEX('3_Balance_Sheet'!C40:N40,1,LatestAudCol)/INDEX('3_Balance_Sheet'!C52:N52,1,LatestAudCol),99)&lt;=MaxTOLTNW,"is contained within prudential bounds (TOL/TNW: "&amp;TEXT(IFERROR(INDEX('3_Balance_Sheet'!C40:N40,1,LatestAudCol)/INDEX('3_Balance_Sheet'!C52:N52,1,LatestAudCol),0),"0.00")&amp;"x vs ceiling "&amp;TEXT(MaxTOLTNW,"0.00")&amp;"x)","breaches the prudential ceiling (TOL/TNW: "&amp;TEXT(IFERROR(INDEX('3_Balance_Sheet'!C40:N40,1,LatestAudCol)/INDEX('3_Balance_Sheet'!C52:N52,1,LatestAudCol),99),"0.00")&amp;"x vs ceiling "&amp;TEXT(MaxTOLTNW,"0.00")&amp;"x — necessitating immediate equity infusion or term-loan deceleration)")&amp;". Debt service coverage stands at "&amp;IFERROR(TEXT(INDEX('4_DSCR'!C17:N17,1,LatestAudCol),"0.00"),"—")&amp;"x in the latest audited year (average across years with TL instalments: "&amp;IFERROR(TEXT('4_DSCR'!C19,"0.00"),"—")&amp;"x) — "&amp;IF(IFERROR(INDEX('4_DSCR'!C17:N17,1,LatestAudCol),0)&gt;=1.5,"demonstrating robust capacity to service term obligations",IF(IFERROR(INDEX('4_DSCR'!C17:N17,1,LatestAudCol),0)&gt;=MinDSCR_Any,"marginally adequate but highly vulnerable to operational shocks","CRITICALLY INSUFFICIENT — borrower lacks structural capacity to meet debt obligations from internal accruals"))&amp;". The 13-week rolling cash flow forecast (FORECAST.ETS) projects "&amp;IF(LEFT(IFERROR(Bankable_Breach_Week,""),1)="🔴","a SANCTIONED-LIMIT BREACH at "&amp;Bankable_Breach_Week&amp;" — flagging acute near-term illiquidity that mandates immediate CC enhancement or fresh equity infusion",IF(LEFT(IFERROR(Liquidity_Breach_Week,""),1)="✓","no cash-negative weeks in the 13-week horizon, with minimum projected cash position remaining adequate","a CC drawdown requirement at "&amp;IFERROR(Liquidity_Breach_Week,"data pending")&amp;" — within sanctioned limits but warranting weekly monitoring"))&amp;"."</f>
        <v>Balance sheet metrics indicate liquidity STRESS — Current Ratio of 0.00x is below the policy minimum of 1.17x. Leverage profile breaches the prudential ceiling (TOL/TNW: 99.00x vs ceiling 4.00x — necessitating immediate equity infusion or term-loan deceleration). Debt service coverage stands at 0.00x in the latest audited year (average across years with TL instalments: 0.00x) — CRITICALLY INSUFFICIENT — borrower lacks structural capacity to meet debt obligations from internal accruals. The 13-week rolling cash flow forecast (FORECAST.ETS) projects no cash-negative weeks in the 13-week horizon, with minimum projected cash position remaining adequate.</v>
      </c>
    </row>
    <row r="21" spans="1:2" ht="15" customHeight="1" x14ac:dyDescent="0.55000000000000004">
      <c r="A21" s="324" t="s">
        <v>1805</v>
      </c>
      <c r="B21" s="324"/>
    </row>
    <row r="22" spans="1:2" ht="139.5" customHeight="1" x14ac:dyDescent="0.55000000000000004">
      <c r="A22" s="281" t="s">
        <v>1806</v>
      </c>
      <c r="B22" s="282" t="str">
        <f>"The probabilistic credit scoring model (Ohlson 1980) yields a default probability of "&amp;IFERROR(TEXT(Ohlson_PD_Latest,"0.0%")&amp;" classified as "&amp;Ohlson_Class_Latest,"unavailable due to insufficient input data")&amp;". "&amp;IF(NOT(ISNUMBER(Ohlson_PD_Latest)),"","The dominant risk driver from the marginal-contribution analysis is "&amp;IFERROR(IF('19_Ohlson_O_Score'!B67="—","none identified (all variables are below baseline)",'19_Ohlson_O_Score'!B67),"none identified")&amp;IF('19_Ohlson_O_Score'!H67="—"," — with no offsetting strength variable identified",", offset partly by strength in "&amp;'19_Ohlson_O_Score'!H67)&amp;". ")&amp;"The three statistical anomaly engines report: Benford's Law forensic test = "&amp;IFERROR(Anomaly_Benford_Verdict,"not run")&amp;"; Rolling Z-Score on operational metrics = "&amp;IFERROR(Anomaly_RollingZ_Verdict,"not run")&amp;"; Beneish-style earnings manipulation indicator = "&amp;IFERROR(Anomaly_Earnings_Verdict,"not run")&amp;". "&amp;IF(LEFT(IFERROR(Anomaly_Master_Verdict,""),1)="🔴","This MASTER ANOMALY VERDICT mandates forensic accounting review prior to sanction. ",IF(LEFT(IFERROR(Anomaly_Master_Verdict,""),1)="🟠","Statistical irregularities warrant enhanced due diligence including ledger sampling and ARC verification. ",IF(LEFT(IFERROR(Anomaly_Master_Verdict,""),1)="🟡","Borderline statistical patterns suggest documentation and quarterly monitoring. ","No statistical anomalies detected across the three engines, supporting data integrity. ")))&amp;"The Early Warning Signal framework, calibrated to RBI Master Directions on Fraud Risk Management (2024), records "&amp;IFERROR(EWS_TotalPoints,"0")&amp;" risk points across "&amp;IFERROR(EWS_HighCount,"0")&amp;" high-severity indicators ("&amp;IFERROR(EWS_Verdict,"baseline")&amp;"). "&amp;"Of the automated red-flag tests run on the financial submissions, "&amp;IFERROR('12_Red_Flags'!E36,"all")&amp;" of "&amp;IFERROR('12_Red_Flags'!E35,"32")&amp;" tests are clear; the unresolved exceptions, if any, are catalogued in the Red Flags sheet for borrower clarification."</f>
        <v>The probabilistic credit scoring model (Ohlson 1980) yields a default probability of 21.1% classified as 🟡 ELEVATED. The dominant risk driver from the marginal-contribution analysis is WC / TA  (liquidity), offset partly by strength in TL / TA  (leverage). The three statistical anomaly engines report: Benford's Law forensic test = ⚠ Need ≥30 obs to test; Rolling Z-Score on operational metrics = 🟢 No statistical outliers; Beneish-style earnings manipulation indicator = 🟢 No manipulation signature detected. No statistical anomalies detected across the three engines, supporting data integrity. The Early Warning Signal framework, calibrated to RBI Master Directions on Fraud Risk Management (2024), records 0 risk points across 0 high-severity indicators (🟢 NORMAL — STANDARD MONITORING). Of the automated red-flag tests run on the financial submissions, ≤ 75% of  tests are clear; the unresolved exceptions, if any, are catalogued in the Red Flags sheet for borrower clarification.</v>
      </c>
    </row>
    <row r="24" spans="1:2" ht="15" customHeight="1" x14ac:dyDescent="0.55000000000000004">
      <c r="A24" s="324" t="s">
        <v>1807</v>
      </c>
      <c r="B24" s="324"/>
    </row>
    <row r="25" spans="1:2" ht="199.5" customHeight="1" x14ac:dyDescent="0.55000000000000004">
      <c r="A25" s="281" t="s">
        <v>1808</v>
      </c>
      <c r="B25" s="282" t="str">
        <f>"Causal stress testing under the '"&amp;Cascade_Selected_Scenario&amp;"' scenario at "&amp;TEXT(Cascade_Severity,"0%")&amp;" severity yields a stressed DSCR of "&amp;IFERROR(TEXT(Cascade_DSCR,"0.00x"),"—")&amp;" — "&amp;IFERROR(Cascade_Verdict,"awaiting computation")&amp;". The severity ladder identifies "&amp;IFERROR(Cascade_Breakpoint,"the breakpoint awaiting parameterisation")&amp;". "&amp;"Chapter XIA Banking Regulation Act exposure analysis: "&amp;IFERROR(ChapterXIA_Status,"not assessed")&amp;". ESG composite score is "&amp;IFERROR(TEXT(ESG_TotalScore,"0")&amp;" / 100","not assessed")&amp;", which "&amp;IF(IFERROR(ESG_TotalScore,0)&gt;=70,"reflects a low ESG-related credit risk overlay",IF(IFERROR(ESG_TotalScore,0)&gt;=50,"places the borrower in the intermediate ESG band requiring sectoral monitoring","flags material ESG-related risks requiring enhanced disclosure and covenants"))&amp;". BASED ON THE FOREGOING, the lending recommendation is: "&amp;IF(OR(IFERROR(Ohlson_PD_Latest,0)&gt;=0.5,LEFT(IFERROR(Anomaly_Master_Verdict,""),1)="🔴",IFERROR(Cascade_DSCR,99)&lt;1,LEFT(IFERROR(Bankable_Breach_Week,""),1)="🔴"),"DECLINE — One or more critical-severity triggers have fired (probability of default ≥50%, master anomaly red, cascade DSCR&lt;1, or forecast bankable breach). The proposal cannot be approved in its current structure.",IF(OR(IFERROR(Ohlson_PD_Latest,0)&gt;=0.2,LEFT(IFERROR(Anomaly_Master_Verdict,""),1)="🟠",IFERROR(Cascade_DSCR,99)&lt;MinDSCR_Any,LEFT(IFERROR(EWS_Verdict,""),1)="🚨"),_xlfn._LONGTEXT("APPROVE WITH COVENANTS — The proposal is sanctionable subject to enhanced covenants including: (i) DSRA equal to one quarterly TL instalment, (ii) quarterly cash flow MIS submissions, (iii) hypothecation of incremental receivables, (iv) negative covenant ","on additional unsecured borrowings, and (v) trigger-based step-up pricing if any of: Ohlson PD breaches 0.30, cascade DSCR falls below 1.10, or master anomaly verdict escalates to red."),IF(OR(IFERROR(Cascade_DSCR,99)&lt;1.5,LEFT(IFERROR(EWS_Verdict,""),1)="⚠"),"APPROVE WITH STANDARD COVENANTS — Borrower demonstrates adequate but not exceptional resilience. Standard covenants apply: annual stock audit, quarterly DSCR certification, end-use letter, and personal guarantee from promoter.","APPROVE — Borrower demonstrates structural resilience across all five analytical dimensions (probabilistic risk, statistical anomaly, causal stress, forecast liquidity, regulatory compliance). Sanction at standard terms with annual review.")))&amp;"."</f>
        <v>Causal stress testing under the 'Brent Oil Shock' scenario at 100% severity yields a stressed DSCR of 0.00x — 🔴 DEBT SERVICE FAILURE. The severity ladder identifies ⚠ Insufficient data. Chapter XIA Banking Regulation Act exposure analysis: 🟢 NO RESTRICTION. ESG composite score is 50 / 100, which places the borrower in the intermediate ESG band requiring sectoral monitoring. BASED ON THE FOREGOING, the lending recommendation is: DECLINE — One or more critical-severity triggers have fired (probability of default ≥50%, master anomaly red, cascade DSCR&lt;1, or forecast bankable breach). The proposal cannot be approved in its current structure..</v>
      </c>
    </row>
    <row r="27" spans="1:2" ht="15" customHeight="1" x14ac:dyDescent="0.55000000000000004">
      <c r="A27" s="324" t="s">
        <v>1809</v>
      </c>
      <c r="B27" s="324"/>
    </row>
    <row r="28" spans="1:2" ht="49.5" customHeight="1" x14ac:dyDescent="0.55000000000000004">
      <c r="A28" s="283" t="s">
        <v>1810</v>
      </c>
      <c r="B28" s="284" t="str">
        <f>IF(IFERROR(INDEX('4_DSCR'!C19:N19,1,LatestAudCol),0)&lt;MinDSCR_Avg,"REQUIRED: Borrower to maintain Debt Service Reserve Account (DSRA) equal to one quarterly TL instalment, replenished within 7 days of any drawdown. To be created prior to first disbursement.","")</f>
        <v>REQUIRED: Borrower to maintain Debt Service Reserve Account (DSRA) equal to one quarterly TL instalment, replenished within 7 days of any drawdown. To be created prior to first disbursement.</v>
      </c>
    </row>
    <row r="29" spans="1:2" ht="49.5" customHeight="1" x14ac:dyDescent="0.55000000000000004">
      <c r="A29" s="283" t="s">
        <v>1811</v>
      </c>
      <c r="B29" s="284" t="str">
        <f>IF(LEFT(IFERROR(Liquidity_Breach_Week,""),1)="W","REQUIRED: Borrower to submit weekly cash flow statements (actual + projected for next 4 weeks) to the bank within 7 days of week-end, signed by CFO. Default penalty: 25 bps step-up on outstanding facilities.","")</f>
        <v/>
      </c>
    </row>
    <row r="30" spans="1:2" ht="49.5" customHeight="1" x14ac:dyDescent="0.55000000000000004">
      <c r="A30" s="283" t="s">
        <v>1812</v>
      </c>
      <c r="B30" s="284" t="str">
        <f>IF(LEFT(IFERROR(Anomaly_Master_Verdict,""),1)="🔴","REQUIRED: Mandatory forensic audit by a Bank-empanelled CA firm within 90 days of sanction. Sanction conditional on satisfactory forensic audit report; any adverse findings will trigger immediate facility recall.","")</f>
        <v/>
      </c>
    </row>
    <row r="31" spans="1:2" ht="49.5" customHeight="1" x14ac:dyDescent="0.55000000000000004">
      <c r="A31" s="283" t="s">
        <v>1813</v>
      </c>
      <c r="B31" s="284" t="str">
        <f>IF(IFERROR(EWS_TotalPoints,0)&gt;=10,"REQUIRED: Trigger-based step-up clause: pricing increases by 50 bps if EWS total points exceed 15, by 100 bps if exceed 25, with right of recall if exceeds 35.","")</f>
        <v/>
      </c>
    </row>
    <row r="32" spans="1:2" ht="49.5" customHeight="1" x14ac:dyDescent="0.55000000000000004">
      <c r="A32" s="283" t="s">
        <v>1814</v>
      </c>
      <c r="B32" s="284" t="str">
        <f>IF(ProjectFinance="Yes",_xlfn._LONGTEXT("REQUIRED: Comply with RBI Project Finance Directions 2025 — minimum 10% individual lender retention for projects up to ₹1,500 Cr aggregate exposure. Construction-phase provisioning at applicable percentage. DCCO deferral penalty provisions to be passed th","rough pricing."),"")</f>
        <v/>
      </c>
    </row>
    <row r="33" spans="1:2" ht="49.5" customHeight="1" x14ac:dyDescent="0.55000000000000004">
      <c r="A33" s="283" t="s">
        <v>1815</v>
      </c>
      <c r="B33" s="284" t="str">
        <f>IF(LEFT(IFERROR(ChapterXIA_Status,""),1)="🔴","REQUIRED: Reduce existing exposure or arrange consortium dilution to comply with Chapter XIA Banking Regulation Act exposure caps prior to disbursement of incremental facilities.","")</f>
        <v/>
      </c>
    </row>
    <row r="34" spans="1:2" ht="49.5" customHeight="1" x14ac:dyDescent="0.55000000000000004">
      <c r="A34" s="283" t="s">
        <v>1816</v>
      </c>
      <c r="B34" s="284" t="str">
        <f>IF(IFERROR(Cascade_DSCR,99)&lt;MinDSCR_Any,"REQUIRED: Quarterly re-run of causal cascade engine using updated borrower MIS. If stressed DSCR falls below "&amp;TEXT(MinDSCR_Any,"0.00x")&amp;" in any review, borrower to either (a) inject fresh equity to restore DSCR, or (b) accept facility restructuring at Bank's discretion.","")</f>
        <v>REQUIRED: Quarterly re-run of causal cascade engine using updated borrower MIS. If stressed DSCR falls below 1.25x in any review, borrower to either (a) inject fresh equity to restore DSCR, or (b) accept facility restructuring at Bank's discretion.</v>
      </c>
    </row>
    <row r="35" spans="1:2" ht="49.5" customHeight="1" x14ac:dyDescent="0.55000000000000004">
      <c r="A35" s="283" t="s">
        <v>1817</v>
      </c>
      <c r="B35" s="284" t="str">
        <f>IF(IFERROR(ESG_TotalScore,100)&lt;50,"REQUIRED: Annual ESG disclosure aligned with BRSR Lite framework. ESG score below 50/100 triggers mandatory sustainability-linked KPI integration into pricing.","")</f>
        <v/>
      </c>
    </row>
    <row r="37" spans="1:2" ht="25.5" customHeight="1" x14ac:dyDescent="0.55000000000000004">
      <c r="A37" s="2"/>
      <c r="B37" s="2"/>
    </row>
    <row r="39" spans="1:2" ht="15" customHeight="1" x14ac:dyDescent="0.55000000000000004">
      <c r="A39" s="324" t="s">
        <v>1818</v>
      </c>
      <c r="B39" s="324"/>
    </row>
    <row r="40" spans="1:2" ht="27.75" customHeight="1" x14ac:dyDescent="0.55000000000000004">
      <c r="A40" s="285" t="s">
        <v>1819</v>
      </c>
      <c r="B40" s="286" t="s">
        <v>1820</v>
      </c>
    </row>
    <row r="41" spans="1:2" ht="27.75" customHeight="1" x14ac:dyDescent="0.55000000000000004">
      <c r="A41" s="285" t="s">
        <v>1821</v>
      </c>
      <c r="B41" s="286" t="s">
        <v>1822</v>
      </c>
    </row>
    <row r="42" spans="1:2" ht="27.75" customHeight="1" x14ac:dyDescent="0.55000000000000004">
      <c r="A42" s="285" t="s">
        <v>1823</v>
      </c>
      <c r="B42" s="286" t="s">
        <v>1824</v>
      </c>
    </row>
    <row r="43" spans="1:2" ht="27.75" customHeight="1" x14ac:dyDescent="0.55000000000000004">
      <c r="A43" s="285" t="s">
        <v>1825</v>
      </c>
      <c r="B43" s="286" t="s">
        <v>1826</v>
      </c>
    </row>
    <row r="44" spans="1:2" ht="27.75" customHeight="1" x14ac:dyDescent="0.55000000000000004">
      <c r="A44" s="285" t="s">
        <v>1827</v>
      </c>
      <c r="B44" s="286" t="str">
        <f ca="1">TEXT(TODAY(),"dd-mmm-yyyy")</f>
        <v>08-May-2026</v>
      </c>
    </row>
    <row r="46" spans="1:2" ht="15" customHeight="1" x14ac:dyDescent="0.55000000000000004">
      <c r="A46" s="324" t="s">
        <v>1828</v>
      </c>
      <c r="B46" s="324"/>
    </row>
    <row r="47" spans="1:2" ht="25.5" customHeight="1" x14ac:dyDescent="0.55000000000000004">
      <c r="A47" s="287" t="s">
        <v>1829</v>
      </c>
      <c r="B47" s="170" t="s">
        <v>1830</v>
      </c>
    </row>
    <row r="48" spans="1:2" ht="25.5" customHeight="1" x14ac:dyDescent="0.55000000000000004">
      <c r="A48" s="287" t="s">
        <v>1831</v>
      </c>
      <c r="B48" s="170" t="s">
        <v>1832</v>
      </c>
    </row>
    <row r="49" spans="1:2" ht="25.5" customHeight="1" x14ac:dyDescent="0.55000000000000004">
      <c r="A49" s="287" t="s">
        <v>1833</v>
      </c>
      <c r="B49" s="170" t="s">
        <v>1834</v>
      </c>
    </row>
    <row r="50" spans="1:2" ht="25.5" customHeight="1" x14ac:dyDescent="0.55000000000000004">
      <c r="A50" s="287" t="s">
        <v>1835</v>
      </c>
      <c r="B50" s="170" t="s">
        <v>1836</v>
      </c>
    </row>
    <row r="51" spans="1:2" ht="25.5" customHeight="1" x14ac:dyDescent="0.55000000000000004">
      <c r="A51" s="287" t="s">
        <v>1837</v>
      </c>
      <c r="B51" s="170" t="s">
        <v>1838</v>
      </c>
    </row>
    <row r="53" spans="1:2" ht="15" customHeight="1" x14ac:dyDescent="0.55000000000000004">
      <c r="A53" s="324" t="s">
        <v>1839</v>
      </c>
      <c r="B53" s="324"/>
    </row>
    <row r="54" spans="1:2" ht="21.75" customHeight="1" x14ac:dyDescent="0.55000000000000004">
      <c r="A54" s="325" t="s">
        <v>1840</v>
      </c>
      <c r="B54" s="325"/>
    </row>
    <row r="55" spans="1:2" ht="13.5" customHeight="1" x14ac:dyDescent="0.55000000000000004">
      <c r="A55" s="325"/>
      <c r="B55" s="325"/>
    </row>
    <row r="56" spans="1:2" ht="13.5" customHeight="1" x14ac:dyDescent="0.55000000000000004">
      <c r="A56" s="325" t="s">
        <v>1841</v>
      </c>
      <c r="B56" s="325"/>
    </row>
    <row r="57" spans="1:2" ht="21.75" customHeight="1" x14ac:dyDescent="0.55000000000000004">
      <c r="A57" s="325" t="s">
        <v>1842</v>
      </c>
      <c r="B57" s="325"/>
    </row>
    <row r="58" spans="1:2" ht="21.75" customHeight="1" x14ac:dyDescent="0.55000000000000004">
      <c r="A58" s="325" t="s">
        <v>1843</v>
      </c>
      <c r="B58" s="325"/>
    </row>
    <row r="59" spans="1:2" ht="21.75" customHeight="1" x14ac:dyDescent="0.55000000000000004">
      <c r="A59" s="325" t="s">
        <v>1844</v>
      </c>
      <c r="B59" s="325"/>
    </row>
    <row r="60" spans="1:2" ht="21.75" customHeight="1" x14ac:dyDescent="0.55000000000000004">
      <c r="A60" s="325" t="s">
        <v>1845</v>
      </c>
      <c r="B60" s="325"/>
    </row>
    <row r="61" spans="1:2" ht="21.75" customHeight="1" x14ac:dyDescent="0.55000000000000004">
      <c r="A61" s="325" t="s">
        <v>1846</v>
      </c>
      <c r="B61" s="325"/>
    </row>
  </sheetData>
  <mergeCells count="22">
    <mergeCell ref="A60:B60"/>
    <mergeCell ref="A61:B61"/>
    <mergeCell ref="A55:B55"/>
    <mergeCell ref="A56:B56"/>
    <mergeCell ref="A57:B57"/>
    <mergeCell ref="A58:B58"/>
    <mergeCell ref="A59:B59"/>
    <mergeCell ref="A37:B37"/>
    <mergeCell ref="A39:B39"/>
    <mergeCell ref="A46:B46"/>
    <mergeCell ref="A53:B53"/>
    <mergeCell ref="A54:B54"/>
    <mergeCell ref="A15:B15"/>
    <mergeCell ref="A18:B18"/>
    <mergeCell ref="A21:B21"/>
    <mergeCell ref="A24:B24"/>
    <mergeCell ref="A27:B27"/>
    <mergeCell ref="A1:B1"/>
    <mergeCell ref="A2:B2"/>
    <mergeCell ref="A4:B4"/>
    <mergeCell ref="A5:B5"/>
    <mergeCell ref="A7:B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77</vt:i4>
      </vt:variant>
    </vt:vector>
  </HeadingPairs>
  <TitlesOfParts>
    <vt:vector size="104" baseType="lpstr">
      <vt:lpstr>0A_Executive_Dashboard</vt:lpstr>
      <vt:lpstr>0B_Credit_Scoring</vt:lpstr>
      <vt:lpstr>0_Setup</vt:lpstr>
      <vt:lpstr>1_How_To_Use</vt:lpstr>
      <vt:lpstr>2_Operating_Statement</vt:lpstr>
      <vt:lpstr>3_Balance_Sheet</vt:lpstr>
      <vt:lpstr>4_DSCR</vt:lpstr>
      <vt:lpstr>5_Holding_Levels</vt:lpstr>
      <vt:lpstr>6_Working_Capital</vt:lpstr>
      <vt:lpstr>7_Funds_Flow</vt:lpstr>
      <vt:lpstr>8_Performance_Indicators</vt:lpstr>
      <vt:lpstr>9_Cross_Checks</vt:lpstr>
      <vt:lpstr>10_Credit_Limits</vt:lpstr>
      <vt:lpstr>11_Security</vt:lpstr>
      <vt:lpstr>12_Red_Flags</vt:lpstr>
      <vt:lpstr>12B_Exception_Engine</vt:lpstr>
      <vt:lpstr>13_Auto_Analysis</vt:lpstr>
      <vt:lpstr>14_Justification</vt:lpstr>
      <vt:lpstr>Industry_Outlook</vt:lpstr>
      <vt:lpstr>15_Stress_Test</vt:lpstr>
      <vt:lpstr>16_ESG_Scorecard</vt:lpstr>
      <vt:lpstr>17_Advanced_EWS</vt:lpstr>
      <vt:lpstr>18_13W_Cash_Flow</vt:lpstr>
      <vt:lpstr>19_Ohlson_O_Score</vt:lpstr>
      <vt:lpstr>20_Anomaly_Detection</vt:lpstr>
      <vt:lpstr>21_Forecasting_Engine</vt:lpstr>
      <vt:lpstr>22_Credit_Memorandum</vt:lpstr>
      <vt:lpstr>Anomaly_Benford_Verdict</vt:lpstr>
      <vt:lpstr>Anomaly_Earnings_Verdict</vt:lpstr>
      <vt:lpstr>Anomaly_Master_Verdict</vt:lpstr>
      <vt:lpstr>Anomaly_RollingZ_Count</vt:lpstr>
      <vt:lpstr>Anomaly_RollingZ_Verdict</vt:lpstr>
      <vt:lpstr>APIGrossIncome</vt:lpstr>
      <vt:lpstr>Bankable_Breach_Week</vt:lpstr>
      <vt:lpstr>BorrowerName</vt:lpstr>
      <vt:lpstr>CAM_Para1</vt:lpstr>
      <vt:lpstr>CAM_Para2</vt:lpstr>
      <vt:lpstr>CAM_Para3</vt:lpstr>
      <vt:lpstr>CAM_Para4</vt:lpstr>
      <vt:lpstr>CAM_Synopsis</vt:lpstr>
      <vt:lpstr>Cascade_Breakpoint</vt:lpstr>
      <vt:lpstr>Cascade_DSCR</vt:lpstr>
      <vt:lpstr>Cascade_Selected_Scenario</vt:lpstr>
      <vt:lpstr>Cascade_Severity</vt:lpstr>
      <vt:lpstr>Cascade_Verdict</vt:lpstr>
      <vt:lpstr>CashFlow_MaxFunding</vt:lpstr>
      <vt:lpstr>CashFlow_MinAcrossWeeks</vt:lpstr>
      <vt:lpstr>CashFlow_MinClosing</vt:lpstr>
      <vt:lpstr>ChapterXIA_AggExposure</vt:lpstr>
      <vt:lpstr>ChapterXIA_BankShare</vt:lpstr>
      <vt:lpstr>ChapterXIA_Status</vt:lpstr>
      <vt:lpstr>CurrentEstCol</vt:lpstr>
      <vt:lpstr>CurrentFY</vt:lpstr>
      <vt:lpstr>CustomerID</vt:lpstr>
      <vt:lpstr>DataSource</vt:lpstr>
      <vt:lpstr>DCCO_Year</vt:lpstr>
      <vt:lpstr>ESG_TotalScore</vt:lpstr>
      <vt:lpstr>EWS_CriticalCount</vt:lpstr>
      <vt:lpstr>EWS_HighCount</vt:lpstr>
      <vt:lpstr>EWS_TotalPoints</vt:lpstr>
      <vt:lpstr>EWS_Verdict</vt:lpstr>
      <vt:lpstr>ExistingFB_TL</vt:lpstr>
      <vt:lpstr>ExistingFB_WC</vt:lpstr>
      <vt:lpstr>ExistingNFB</vt:lpstr>
      <vt:lpstr>ExternalRating</vt:lpstr>
      <vt:lpstr>FirstFY</vt:lpstr>
      <vt:lpstr>Forecast_Cash_Yr1</vt:lpstr>
      <vt:lpstr>Forecast_EBITDA_Yr1</vt:lpstr>
      <vt:lpstr>Forecast_Sales_Yr1</vt:lpstr>
      <vt:lpstr>IndustryName</vt:lpstr>
      <vt:lpstr>InternalRating</vt:lpstr>
      <vt:lpstr>LastFY</vt:lpstr>
      <vt:lpstr>LastProjCol</vt:lpstr>
      <vt:lpstr>LatestAudCol</vt:lpstr>
      <vt:lpstr>LatestEstCol</vt:lpstr>
      <vt:lpstr>Liquidity_Breach_Week</vt:lpstr>
      <vt:lpstr>MaxDPOStretch</vt:lpstr>
      <vt:lpstr>MaxDSOIncrease</vt:lpstr>
      <vt:lpstr>MaxInvDays</vt:lpstr>
      <vt:lpstr>MaxLeverage</vt:lpstr>
      <vt:lpstr>MaxNWCErosion</vt:lpstr>
      <vt:lpstr>MaxTOLTNW</vt:lpstr>
      <vt:lpstr>Min_Projected_Cash</vt:lpstr>
      <vt:lpstr>MinCR</vt:lpstr>
      <vt:lpstr>MinDSCR_Any</vt:lpstr>
      <vt:lpstr>MinDSCR_Avg</vt:lpstr>
      <vt:lpstr>MinFACR</vt:lpstr>
      <vt:lpstr>MinICR</vt:lpstr>
      <vt:lpstr>MinSalesGrowth</vt:lpstr>
      <vt:lpstr>NumFY</vt:lpstr>
      <vt:lpstr>Ohlson_Class_Latest</vt:lpstr>
      <vt:lpstr>Ohlson_PD_Latest</vt:lpstr>
      <vt:lpstr>Ohlson_Score_Latest</vt:lpstr>
      <vt:lpstr>PriorAudCol</vt:lpstr>
      <vt:lpstr>PriorFY_Pos</vt:lpstr>
      <vt:lpstr>PriorFY_Year</vt:lpstr>
      <vt:lpstr>ProjectFinance</vt:lpstr>
      <vt:lpstr>ProjectPhase</vt:lpstr>
      <vt:lpstr>ProjectSector</vt:lpstr>
      <vt:lpstr>ProposalType</vt:lpstr>
      <vt:lpstr>ProposedFB_TL</vt:lpstr>
      <vt:lpstr>ProposedFB_WC</vt:lpstr>
      <vt:lpstr>ProposedNFB</vt:lpstr>
      <vt:lpstr>TotalCols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GAURAV DAYAM</cp:lastModifiedBy>
  <cp:revision>0</cp:revision>
  <dcterms:created xsi:type="dcterms:W3CDTF">2026-05-05T17:09:27Z</dcterms:created>
  <dcterms:modified xsi:type="dcterms:W3CDTF">2026-05-08T17:51:13Z</dcterms:modified>
  <dc:language>en-US</dc:language>
</cp:coreProperties>
</file>